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47AEF9AC-95F1-4489-ADA8-1E8F47826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M18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M15" i="1" s="1"/>
  <c r="M19" i="1" l="1"/>
  <c r="M17" i="1"/>
  <c r="M16" i="1"/>
</calcChain>
</file>

<file path=xl/sharedStrings.xml><?xml version="1.0" encoding="utf-8"?>
<sst xmlns="http://schemas.openxmlformats.org/spreadsheetml/2006/main" count="823" uniqueCount="289">
  <si>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</si>
  <si>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</si>
  <si>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</si>
  <si>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</si>
  <si>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</si>
  <si>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</si>
  <si>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</si>
  <si>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</si>
  <si>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</si>
  <si>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</si>
  <si>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</si>
  <si>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</si>
  <si>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</si>
  <si>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</si>
  <si>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</si>
  <si>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</si>
  <si>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</si>
  <si>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</si>
  <si>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</si>
  <si>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</si>
  <si>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</si>
  <si>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</si>
  <si>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</si>
  <si>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</si>
  <si>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</si>
  <si>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</si>
  <si>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</si>
  <si>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</si>
  <si>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</si>
  <si>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</si>
  <si>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</si>
  <si>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</si>
  <si>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</si>
  <si>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</si>
  <si>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</si>
  <si>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</si>
  <si>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</si>
  <si>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</si>
  <si>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</si>
  <si>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</si>
  <si>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</si>
  <si>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</si>
  <si>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</si>
  <si>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</si>
  <si>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</si>
  <si>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</si>
  <si>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</si>
  <si>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</si>
  <si>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</si>
  <si>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</si>
  <si>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</si>
  <si>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</si>
  <si>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</si>
  <si>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</si>
  <si>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</si>
  <si>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</si>
  <si>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</si>
  <si>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</si>
  <si>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</si>
  <si>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</si>
  <si>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</si>
  <si>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</si>
  <si>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</si>
  <si>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</si>
  <si>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</si>
  <si>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</si>
  <si>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</si>
  <si>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</si>
  <si>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</si>
  <si>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</si>
  <si>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</si>
  <si>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</si>
  <si>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</si>
  <si>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</si>
  <si>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</si>
  <si>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</si>
  <si>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</si>
  <si>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</si>
  <si>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</si>
  <si>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</si>
  <si>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</si>
  <si>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</si>
  <si>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</si>
  <si>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</si>
  <si>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</si>
  <si>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</si>
  <si>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</si>
  <si>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</si>
  <si>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</si>
  <si>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</si>
  <si>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</si>
  <si>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</si>
  <si>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</si>
  <si>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</si>
  <si>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</si>
  <si>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</si>
  <si>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</si>
  <si>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</si>
  <si>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</si>
  <si>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</si>
  <si>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</si>
  <si>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</si>
  <si>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</si>
  <si>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</si>
  <si>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</si>
  <si>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</si>
  <si>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</si>
  <si>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</si>
  <si>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</si>
  <si>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</si>
  <si>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</si>
  <si>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</si>
  <si>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</si>
  <si>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</si>
  <si>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</si>
  <si>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</si>
  <si>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</si>
  <si>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</si>
  <si>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</si>
  <si>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</si>
  <si>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</si>
  <si>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</si>
  <si>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</si>
  <si>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</si>
  <si>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</si>
  <si>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</si>
  <si>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</si>
  <si>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</si>
  <si>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</si>
  <si>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</si>
  <si>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</si>
  <si>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</si>
  <si>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</si>
  <si>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</si>
  <si>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</si>
  <si>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</si>
  <si>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</si>
  <si>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</si>
  <si>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</si>
  <si>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</si>
  <si>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</si>
  <si>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</si>
  <si>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</si>
  <si>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</si>
  <si>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</si>
  <si>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</si>
  <si>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</si>
  <si>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</si>
  <si>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</si>
  <si>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</si>
  <si>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</si>
  <si>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</si>
  <si>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</si>
  <si>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</si>
  <si>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</si>
  <si>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</si>
  <si>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</si>
  <si>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</si>
  <si>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</si>
  <si>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</si>
  <si>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</si>
  <si>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</si>
  <si>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</si>
  <si>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</si>
  <si>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</si>
  <si>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</si>
  <si>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</si>
  <si>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</si>
  <si>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</si>
  <si>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</si>
  <si>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</si>
  <si>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</si>
  <si>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</si>
  <si>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</si>
  <si>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</si>
  <si>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</si>
  <si>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</si>
  <si>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</si>
  <si>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</si>
  <si>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</si>
  <si>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</si>
  <si>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</si>
  <si>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</si>
  <si>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</si>
  <si>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</si>
  <si>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</si>
  <si>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</si>
  <si>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</si>
  <si>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</si>
  <si>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</si>
  <si>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</si>
  <si>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</si>
  <si>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</si>
  <si>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</si>
  <si>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</si>
  <si>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</si>
  <si>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</si>
  <si>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</si>
  <si>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</si>
  <si>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</si>
  <si>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</si>
  <si>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</si>
  <si>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</si>
  <si>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</si>
  <si>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</si>
  <si>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</si>
  <si>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</si>
  <si>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</si>
  <si>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</si>
  <si>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</si>
  <si>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</si>
  <si>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</si>
  <si>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</si>
  <si>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</si>
  <si>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</si>
  <si>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</si>
  <si>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</si>
  <si>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</si>
  <si>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</si>
  <si>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</si>
  <si>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</si>
  <si>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</si>
  <si>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</si>
  <si>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</si>
  <si>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</si>
  <si>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</si>
  <si>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</si>
  <si>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</si>
  <si>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</si>
  <si>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</si>
  <si>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</si>
  <si>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</si>
  <si>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</si>
  <si>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</si>
  <si>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</si>
  <si>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</si>
  <si>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</si>
  <si>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</si>
  <si>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</si>
  <si>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</si>
  <si>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</si>
  <si>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</si>
  <si>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</si>
  <si>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</si>
  <si>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</si>
  <si>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</si>
  <si>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</si>
  <si>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</si>
  <si>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</si>
  <si>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</si>
  <si>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</si>
  <si>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</si>
  <si>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</si>
  <si>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</si>
  <si>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</si>
  <si>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</si>
  <si>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</si>
  <si>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</si>
  <si>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</si>
  <si>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</si>
  <si>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</si>
  <si>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</si>
  <si>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</si>
  <si>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</si>
  <si>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</si>
  <si>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</si>
  <si>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</si>
  <si>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</si>
  <si>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</si>
  <si>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</si>
  <si>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</si>
  <si>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</si>
  <si>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</si>
  <si>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</si>
  <si>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</si>
  <si>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</si>
  <si>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</si>
  <si>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</si>
  <si>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</si>
  <si>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</si>
  <si>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</si>
  <si>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</si>
  <si>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 xml:space="preserve">Mean </t>
  </si>
  <si>
    <t>Median</t>
  </si>
  <si>
    <t>Std. Dev</t>
  </si>
  <si>
    <t>Minimum</t>
  </si>
  <si>
    <t>Maximum</t>
  </si>
  <si>
    <t>Column2</t>
  </si>
  <si>
    <t>Descrptive Statiscs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</si>
</sst>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4"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E396A-E2BC-4050-80C3-8A6726EE6AA1}" name="Table1" displayName="Table1" ref="A1:J151" totalsRowShown="0" headerRowDxfId="2" dataDxfId="1" headerRowBorderDxfId="12" tableBorderDxfId="13">
  <autoFilter ref="A1:J151" xr:uid="{363E396A-E2BC-4050-80C3-8A6726EE6AA1}"/>
  <tableColumns count="10">
    <tableColumn id="1" xr3:uid="{ED69908F-E622-4D46-B24C-BC74D1758749}" name="Employee ID" dataDxfId="11"/>
    <tableColumn id="2" xr3:uid="{99ADFC89-82A7-4300-9190-4CABEA978D9A}" name="Name" dataDxfId="10"/>
    <tableColumn id="3" xr3:uid="{88795F70-8D9D-4D48-9B38-7A4A3EEEE1B9}" name="Department" dataDxfId="9"/>
    <tableColumn id="4" xr3:uid="{A65FE6AC-EFBA-43DD-98AA-A9990F54E4EA}" name="Country" dataDxfId="8"/>
    <tableColumn id="5" xr3:uid="{FFF1164F-869D-4385-B699-34B57D78EF4B}" name="Salary" dataDxfId="7"/>
    <tableColumn id="6" xr3:uid="{80D48FB1-FDA7-4A62-97BA-8006CE681487}" name="Date of Joining" dataDxfId="6"/>
    <tableColumn id="7" xr3:uid="{C93206F0-9256-47A3-B85A-99E4E24BD165}" name="Performance Rating" dataDxfId="5"/>
    <tableColumn id="8" xr3:uid="{F51A9F8E-C0C8-409F-B7D6-859D136838E4}" name="Gender" dataDxfId="4"/>
    <tableColumn id="9" xr3:uid="{07B05518-3612-4545-8070-7040DB1816D4}" name="Email" dataDxfId="3"/>
    <tableColumn id="10" xr3:uid="{E85C848E-AF42-4E90-95B6-13CFB8B03A1E}" name="Column1" dataDxfId="0">
      <calculatedColumnFormula>AVERAGE(E2:E151)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0042E-609A-40C2-9B36-AB0D9F6A4AD4}" name="Table2" displayName="Table2" ref="L14:M19" totalsRowShown="0">
  <autoFilter ref="L14:M19" xr:uid="{8620042E-609A-40C2-9B36-AB0D9F6A4AD4}"/>
  <tableColumns count="2">
    <tableColumn id="1" xr3:uid="{FB33C425-465D-4AA6-9656-2D0E86DBFA1E}" name="Column1"/>
    <tableColumn id="2" xr3:uid="{4EB7D0E8-D22F-47DF-9A63-385A0B293A7E}" name="Column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C1" workbookViewId="0">
      <selection activeCell="K2" sqref="K2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bestFit="1" customWidth="1"/>
    <col min="6" max="6" width="18.109375" bestFit="1" customWidth="1"/>
    <col min="7" max="7" width="22.33203125" bestFit="1" customWidth="1"/>
    <col min="8" max="8" width="11.5546875" bestFit="1" customWidth="1"/>
    <col min="9" max="9" width="20.44140625" bestFit="1" customWidth="1"/>
    <col min="10" max="10" width="12.6640625" customWidth="1"/>
    <col min="12" max="12" width="10.6640625" customWidth="1"/>
    <col min="13" max="13" width="10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281</v>
      </c>
    </row>
    <row r="2" spans="1:13" x14ac:dyDescent="0.3">
      <c r="A2" s="2" t="s">
        <v>9</v>
      </c>
      <c r="B2" s="2"/>
      <c r="C2" s="2" t="s">
        <v>166</v>
      </c>
      <c r="D2" s="2" t="s">
        <v>171</v>
      </c>
      <c r="E2" s="2" t="s">
        <v>177</v>
      </c>
      <c r="F2" s="2"/>
      <c r="G2" s="2">
        <v>2</v>
      </c>
      <c r="H2" s="2" t="s">
        <v>178</v>
      </c>
      <c r="I2" s="2" t="s">
        <v>182</v>
      </c>
      <c r="J2" s="4">
        <f t="shared" ref="J2:J65" si="0">AVERAGE(E2:E151)</f>
        <v>66280.929577464791</v>
      </c>
    </row>
    <row r="3" spans="1:13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  <c r="J3" s="4">
        <f t="shared" si="0"/>
        <v>66280.929577464791</v>
      </c>
    </row>
    <row r="4" spans="1:13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H4" s="2"/>
      <c r="I4" s="2" t="s">
        <v>184</v>
      </c>
      <c r="J4" s="4">
        <f t="shared" si="0"/>
        <v>66366.219858156022</v>
      </c>
    </row>
    <row r="5" spans="1:13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J5" s="4">
        <f t="shared" si="0"/>
        <v>66388.95</v>
      </c>
    </row>
    <row r="6" spans="1:13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J6" s="4">
        <f t="shared" si="0"/>
        <v>66187.388489208635</v>
      </c>
    </row>
    <row r="7" spans="1:13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J7" s="4">
        <f t="shared" si="0"/>
        <v>66202.369565217392</v>
      </c>
    </row>
    <row r="8" spans="1:13" x14ac:dyDescent="0.3">
      <c r="A8" s="2" t="s">
        <v>15</v>
      </c>
      <c r="B8" s="2" t="s">
        <v>163</v>
      </c>
      <c r="C8" s="2" t="s">
        <v>168</v>
      </c>
      <c r="D8" s="2"/>
      <c r="E8" s="2">
        <v>67721</v>
      </c>
      <c r="F8" s="3">
        <v>42050</v>
      </c>
      <c r="G8" s="2"/>
      <c r="H8" s="2" t="s">
        <v>180</v>
      </c>
      <c r="I8" s="2" t="s">
        <v>185</v>
      </c>
      <c r="J8" s="4">
        <f t="shared" si="0"/>
        <v>66113.182481751821</v>
      </c>
    </row>
    <row r="9" spans="1:13" x14ac:dyDescent="0.3">
      <c r="A9" s="2" t="s">
        <v>16</v>
      </c>
      <c r="B9" s="2" t="s">
        <v>164</v>
      </c>
      <c r="C9" s="2" t="s">
        <v>170</v>
      </c>
      <c r="D9" s="2"/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J9" s="4">
        <f t="shared" si="0"/>
        <v>66101.36029411765</v>
      </c>
    </row>
    <row r="10" spans="1:13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G10" s="2"/>
      <c r="H10" s="2" t="s">
        <v>181</v>
      </c>
      <c r="I10" s="2" t="s">
        <v>189</v>
      </c>
      <c r="J10" s="4">
        <f t="shared" si="0"/>
        <v>66329.044444444444</v>
      </c>
    </row>
    <row r="11" spans="1:13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G11" s="2"/>
      <c r="H11" s="2" t="s">
        <v>180</v>
      </c>
      <c r="I11" s="2" t="s">
        <v>190</v>
      </c>
      <c r="J11" s="4">
        <f t="shared" si="0"/>
        <v>66093.582089552234</v>
      </c>
    </row>
    <row r="12" spans="1:13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J12" s="4">
        <f t="shared" si="0"/>
        <v>65899.954887218046</v>
      </c>
    </row>
    <row r="13" spans="1:13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J13" s="4">
        <f t="shared" si="0"/>
        <v>65912.477272727279</v>
      </c>
      <c r="L13" s="6" t="s">
        <v>288</v>
      </c>
      <c r="M13" s="6"/>
    </row>
    <row r="14" spans="1:13" x14ac:dyDescent="0.3">
      <c r="A14" s="2" t="s">
        <v>21</v>
      </c>
      <c r="B14" s="2" t="s">
        <v>165</v>
      </c>
      <c r="C14" s="2" t="s">
        <v>168</v>
      </c>
      <c r="D14" s="2"/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J14" s="4">
        <f t="shared" si="0"/>
        <v>65719.595419847334</v>
      </c>
      <c r="L14" t="s">
        <v>281</v>
      </c>
      <c r="M14" t="s">
        <v>287</v>
      </c>
    </row>
    <row r="15" spans="1:13" x14ac:dyDescent="0.3">
      <c r="A15" s="2" t="s">
        <v>22</v>
      </c>
      <c r="B15" s="2" t="s">
        <v>163</v>
      </c>
      <c r="C15" s="2"/>
      <c r="D15" s="2" t="s">
        <v>174</v>
      </c>
      <c r="E15" s="2">
        <v>62158</v>
      </c>
      <c r="F15" s="3">
        <v>42099</v>
      </c>
      <c r="G15" s="2">
        <v>4</v>
      </c>
      <c r="H15" s="2"/>
      <c r="I15" s="2" t="s">
        <v>193</v>
      </c>
      <c r="J15" s="4">
        <f t="shared" si="0"/>
        <v>65483.453846153847</v>
      </c>
      <c r="L15" t="s">
        <v>282</v>
      </c>
      <c r="M15">
        <f>AVERAGE(J1:J151)</f>
        <v>65759.046785193786</v>
      </c>
    </row>
    <row r="16" spans="1:13" x14ac:dyDescent="0.3">
      <c r="A16" s="2" t="s">
        <v>23</v>
      </c>
      <c r="B16" s="2" t="s">
        <v>162</v>
      </c>
      <c r="C16" s="2" t="s">
        <v>167</v>
      </c>
      <c r="D16" s="2"/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J16" s="4">
        <f t="shared" si="0"/>
        <v>65509.232558139534</v>
      </c>
      <c r="L16" t="s">
        <v>283</v>
      </c>
      <c r="M16">
        <f>MEDIAN(J1:J151)</f>
        <v>64858.792451298701</v>
      </c>
    </row>
    <row r="17" spans="1:13" x14ac:dyDescent="0.3">
      <c r="A17" s="2" t="s">
        <v>24</v>
      </c>
      <c r="B17" s="2"/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  <c r="J17" s="4">
        <f t="shared" si="0"/>
        <v>65553.1015625</v>
      </c>
      <c r="L17" t="s">
        <v>284</v>
      </c>
      <c r="M17">
        <f>_xlfn.STDEV.S(J2:J151)</f>
        <v>4098.5249612572152</v>
      </c>
    </row>
    <row r="18" spans="1:13" x14ac:dyDescent="0.3">
      <c r="A18" s="2" t="s">
        <v>25</v>
      </c>
      <c r="B18" s="2" t="s">
        <v>165</v>
      </c>
      <c r="C18" s="2"/>
      <c r="D18" s="2" t="s">
        <v>172</v>
      </c>
      <c r="E18" s="2">
        <v>90271</v>
      </c>
      <c r="F18" s="3">
        <v>42120</v>
      </c>
      <c r="G18" s="2"/>
      <c r="H18" s="2"/>
      <c r="I18" s="2" t="s">
        <v>196</v>
      </c>
      <c r="J18" s="4">
        <f t="shared" si="0"/>
        <v>65341.370078740154</v>
      </c>
      <c r="L18" t="s">
        <v>285</v>
      </c>
      <c r="M18" s="5">
        <f>MIN(J2:J151)</f>
        <v>61862.73684210526</v>
      </c>
    </row>
    <row r="19" spans="1:13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  <c r="J19" s="4">
        <f t="shared" si="0"/>
        <v>65143.515873015873</v>
      </c>
      <c r="L19" t="s">
        <v>286</v>
      </c>
      <c r="M19" s="5">
        <f>MAX(J2:J151)</f>
        <v>98475</v>
      </c>
    </row>
    <row r="20" spans="1:13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G20" s="2"/>
      <c r="H20" s="2"/>
      <c r="I20" s="2" t="s">
        <v>198</v>
      </c>
      <c r="J20" s="4">
        <f t="shared" si="0"/>
        <v>65333.936000000002</v>
      </c>
    </row>
    <row r="21" spans="1:13" x14ac:dyDescent="0.3">
      <c r="A21" s="2" t="s">
        <v>28</v>
      </c>
      <c r="B21" s="2" t="s">
        <v>159</v>
      </c>
      <c r="C21" s="2"/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  <c r="J21" s="4">
        <f t="shared" si="0"/>
        <v>65267.258064516129</v>
      </c>
    </row>
    <row r="22" spans="1:13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  <c r="J22" s="4">
        <f t="shared" si="0"/>
        <v>65248.853658536587</v>
      </c>
    </row>
    <row r="23" spans="1:13" x14ac:dyDescent="0.3">
      <c r="A23" s="2" t="s">
        <v>30</v>
      </c>
      <c r="B23" s="2" t="s">
        <v>162</v>
      </c>
      <c r="C23" s="2" t="s">
        <v>167</v>
      </c>
      <c r="D23" s="2"/>
      <c r="E23" s="2">
        <v>98922</v>
      </c>
      <c r="F23" s="3">
        <v>42155</v>
      </c>
      <c r="G23" s="2">
        <v>4</v>
      </c>
      <c r="H23" s="2"/>
      <c r="I23" s="2" t="s">
        <v>201</v>
      </c>
      <c r="J23" s="4">
        <f t="shared" si="0"/>
        <v>65248.853658536587</v>
      </c>
    </row>
    <row r="24" spans="1:13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H24" s="2"/>
      <c r="I24" s="2" t="s">
        <v>202</v>
      </c>
      <c r="J24" s="4">
        <f t="shared" si="0"/>
        <v>64972.844262295082</v>
      </c>
    </row>
    <row r="25" spans="1:13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  <c r="J25" s="4">
        <f t="shared" si="0"/>
        <v>65193.008264462813</v>
      </c>
    </row>
    <row r="26" spans="1:13" x14ac:dyDescent="0.3">
      <c r="A26" s="2" t="s">
        <v>33</v>
      </c>
      <c r="B26" s="2" t="s">
        <v>163</v>
      </c>
      <c r="C26" s="2" t="s">
        <v>166</v>
      </c>
      <c r="D26" s="2"/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  <c r="J26" s="4">
        <f t="shared" si="0"/>
        <v>65431.991666666669</v>
      </c>
    </row>
    <row r="27" spans="1:13" x14ac:dyDescent="0.3">
      <c r="A27" s="2" t="s">
        <v>34</v>
      </c>
      <c r="B27" s="2" t="s">
        <v>164</v>
      </c>
      <c r="C27" s="2"/>
      <c r="D27" s="2" t="s">
        <v>171</v>
      </c>
      <c r="E27" s="2">
        <v>52272</v>
      </c>
      <c r="F27" s="3">
        <v>42183</v>
      </c>
      <c r="G27" s="2">
        <v>3</v>
      </c>
      <c r="H27" s="2"/>
      <c r="I27" s="2" t="s">
        <v>205</v>
      </c>
      <c r="J27" s="4">
        <f t="shared" si="0"/>
        <v>65217.092436974788</v>
      </c>
    </row>
    <row r="28" spans="1:13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  <c r="J28" s="4">
        <f t="shared" si="0"/>
        <v>65326.796610169491</v>
      </c>
    </row>
    <row r="29" spans="1:13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  <c r="J29" s="4">
        <f t="shared" si="0"/>
        <v>65231.145299145297</v>
      </c>
    </row>
    <row r="30" spans="1:13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  <c r="J30" s="4">
        <f t="shared" si="0"/>
        <v>65436.172413793101</v>
      </c>
    </row>
    <row r="31" spans="1:13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H31" s="2"/>
      <c r="I31" s="2" t="s">
        <v>209</v>
      </c>
      <c r="J31" s="4">
        <f t="shared" si="0"/>
        <v>65576.64347826087</v>
      </c>
    </row>
    <row r="32" spans="1:13" x14ac:dyDescent="0.3">
      <c r="A32" s="2" t="s">
        <v>39</v>
      </c>
      <c r="B32" s="2"/>
      <c r="C32" s="2" t="s">
        <v>170</v>
      </c>
      <c r="D32" s="2"/>
      <c r="E32" s="2">
        <v>92259</v>
      </c>
      <c r="F32" s="2"/>
      <c r="G32" s="2">
        <v>1</v>
      </c>
      <c r="H32" s="2" t="s">
        <v>178</v>
      </c>
      <c r="I32" s="2" t="s">
        <v>210</v>
      </c>
      <c r="J32" s="4">
        <f t="shared" si="0"/>
        <v>65336.447368421053</v>
      </c>
    </row>
    <row r="33" spans="1:10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  <c r="J33" s="4">
        <f t="shared" si="0"/>
        <v>65098.194690265489</v>
      </c>
    </row>
    <row r="34" spans="1:10" x14ac:dyDescent="0.3">
      <c r="A34" s="2" t="s">
        <v>41</v>
      </c>
      <c r="B34" s="2" t="s">
        <v>163</v>
      </c>
      <c r="C34" s="2" t="s">
        <v>167</v>
      </c>
      <c r="D34" s="2"/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  <c r="J34" s="4">
        <f t="shared" si="0"/>
        <v>64855.330357142855</v>
      </c>
    </row>
    <row r="35" spans="1:10" x14ac:dyDescent="0.3">
      <c r="A35" s="2" t="s">
        <v>42</v>
      </c>
      <c r="B35" s="2" t="s">
        <v>164</v>
      </c>
      <c r="C35" s="2"/>
      <c r="D35" s="2" t="s">
        <v>173</v>
      </c>
      <c r="E35" s="2">
        <v>95367</v>
      </c>
      <c r="F35" s="3">
        <v>42239</v>
      </c>
      <c r="G35" s="2"/>
      <c r="H35" s="2" t="s">
        <v>180</v>
      </c>
      <c r="I35" s="2" t="s">
        <v>213</v>
      </c>
      <c r="J35" s="4">
        <f t="shared" si="0"/>
        <v>64578.477477477478</v>
      </c>
    </row>
    <row r="36" spans="1:10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H36" s="2"/>
      <c r="I36" s="2" t="s">
        <v>214</v>
      </c>
      <c r="J36" s="4">
        <f t="shared" si="0"/>
        <v>64298.581818181818</v>
      </c>
    </row>
    <row r="37" spans="1:10" x14ac:dyDescent="0.3">
      <c r="A37" s="2" t="s">
        <v>44</v>
      </c>
      <c r="B37" s="2" t="s">
        <v>160</v>
      </c>
      <c r="C37" s="2"/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  <c r="J37" s="4">
        <f t="shared" si="0"/>
        <v>64158.66972477064</v>
      </c>
    </row>
    <row r="38" spans="1:10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G38" s="2"/>
      <c r="H38" s="2" t="s">
        <v>181</v>
      </c>
      <c r="I38" s="2" t="s">
        <v>215</v>
      </c>
      <c r="J38" s="4">
        <f t="shared" si="0"/>
        <v>64248.444444444445</v>
      </c>
    </row>
    <row r="39" spans="1:10" x14ac:dyDescent="0.3">
      <c r="A39" s="2" t="s">
        <v>46</v>
      </c>
      <c r="B39" s="2" t="s">
        <v>160</v>
      </c>
      <c r="C39" s="2" t="s">
        <v>167</v>
      </c>
      <c r="D39" s="2"/>
      <c r="E39" s="2">
        <v>64796</v>
      </c>
      <c r="F39" s="3">
        <v>42267</v>
      </c>
      <c r="G39" s="2"/>
      <c r="H39" s="2" t="s">
        <v>179</v>
      </c>
      <c r="I39" s="2" t="s">
        <v>216</v>
      </c>
      <c r="J39" s="4">
        <f t="shared" si="0"/>
        <v>64009.82242990654</v>
      </c>
    </row>
    <row r="40" spans="1:10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H40" s="2"/>
      <c r="I40" s="2" t="s">
        <v>217</v>
      </c>
      <c r="J40" s="4">
        <f t="shared" si="0"/>
        <v>64002.405660377357</v>
      </c>
    </row>
    <row r="41" spans="1:10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H41" s="2"/>
      <c r="I41" s="2" t="s">
        <v>218</v>
      </c>
      <c r="J41" s="4">
        <f t="shared" si="0"/>
        <v>64115.828571428574</v>
      </c>
    </row>
    <row r="42" spans="1:10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F42" s="2"/>
      <c r="G42" s="2">
        <v>4</v>
      </c>
      <c r="H42" s="2" t="s">
        <v>181</v>
      </c>
      <c r="I42" s="2" t="s">
        <v>219</v>
      </c>
      <c r="J42" s="4">
        <f t="shared" si="0"/>
        <v>64268.634615384617</v>
      </c>
    </row>
    <row r="43" spans="1:10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G43" s="2"/>
      <c r="H43" s="2"/>
      <c r="I43" s="2" t="s">
        <v>220</v>
      </c>
      <c r="J43" s="4">
        <f t="shared" si="0"/>
        <v>64268.634615384617</v>
      </c>
    </row>
    <row r="44" spans="1:10" x14ac:dyDescent="0.3">
      <c r="A44" s="2" t="s">
        <v>51</v>
      </c>
      <c r="B44" s="2" t="s">
        <v>165</v>
      </c>
      <c r="C44" s="2"/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  <c r="J44" s="4">
        <f t="shared" si="0"/>
        <v>64562.932038834952</v>
      </c>
    </row>
    <row r="45" spans="1:10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G45" s="2"/>
      <c r="H45" s="2" t="s">
        <v>181</v>
      </c>
      <c r="I45" s="2" t="s">
        <v>222</v>
      </c>
      <c r="J45" s="4">
        <f t="shared" si="0"/>
        <v>64559.5</v>
      </c>
    </row>
    <row r="46" spans="1:10" x14ac:dyDescent="0.3">
      <c r="A46" s="2" t="s">
        <v>53</v>
      </c>
      <c r="B46" s="2" t="s">
        <v>164</v>
      </c>
      <c r="C46" s="2" t="s">
        <v>166</v>
      </c>
      <c r="D46" s="2"/>
      <c r="E46" s="2">
        <v>81610</v>
      </c>
      <c r="F46" s="3">
        <v>42316</v>
      </c>
      <c r="G46" s="2">
        <v>1</v>
      </c>
      <c r="H46" s="2"/>
      <c r="I46" s="2" t="s">
        <v>223</v>
      </c>
      <c r="J46" s="4">
        <f t="shared" si="0"/>
        <v>64848.940594059408</v>
      </c>
    </row>
    <row r="47" spans="1:10" x14ac:dyDescent="0.3">
      <c r="A47" s="2" t="s">
        <v>54</v>
      </c>
      <c r="B47" s="2"/>
      <c r="C47" s="2" t="s">
        <v>167</v>
      </c>
      <c r="D47" s="2"/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  <c r="J47" s="4">
        <f t="shared" si="0"/>
        <v>64681.33</v>
      </c>
    </row>
    <row r="48" spans="1:10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  <c r="J48" s="4">
        <f t="shared" si="0"/>
        <v>64739.101010101011</v>
      </c>
    </row>
    <row r="49" spans="1:10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H49" s="2"/>
      <c r="I49" s="2" t="s">
        <v>225</v>
      </c>
      <c r="J49" s="4">
        <f t="shared" si="0"/>
        <v>64453.775510204083</v>
      </c>
    </row>
    <row r="50" spans="1:10" x14ac:dyDescent="0.3">
      <c r="A50" s="2" t="s">
        <v>57</v>
      </c>
      <c r="B50" s="2" t="s">
        <v>161</v>
      </c>
      <c r="C50" s="2" t="s">
        <v>166</v>
      </c>
      <c r="D50" s="2"/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  <c r="J50" s="4">
        <f t="shared" si="0"/>
        <v>64517.783505154643</v>
      </c>
    </row>
    <row r="51" spans="1:10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  <c r="J51" s="4">
        <f t="shared" si="0"/>
        <v>64497</v>
      </c>
    </row>
    <row r="52" spans="1:10" x14ac:dyDescent="0.3">
      <c r="A52" s="2" t="s">
        <v>59</v>
      </c>
      <c r="B52" s="2" t="s">
        <v>164</v>
      </c>
      <c r="C52" s="2"/>
      <c r="D52" s="2" t="s">
        <v>171</v>
      </c>
      <c r="E52" s="2">
        <v>30686</v>
      </c>
      <c r="F52" s="2"/>
      <c r="G52" s="2">
        <v>2</v>
      </c>
      <c r="H52" s="2" t="s">
        <v>181</v>
      </c>
      <c r="I52" s="2" t="s">
        <v>226</v>
      </c>
      <c r="J52" s="4">
        <f t="shared" si="0"/>
        <v>64347.284210526319</v>
      </c>
    </row>
    <row r="53" spans="1:10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H53" s="2"/>
      <c r="I53" s="2" t="s">
        <v>227</v>
      </c>
      <c r="J53" s="4">
        <f t="shared" si="0"/>
        <v>64705.382978723406</v>
      </c>
    </row>
    <row r="54" spans="1:10" x14ac:dyDescent="0.3">
      <c r="A54" s="2" t="s">
        <v>61</v>
      </c>
      <c r="B54" s="2" t="s">
        <v>159</v>
      </c>
      <c r="C54" s="2" t="s">
        <v>170</v>
      </c>
      <c r="D54" s="2"/>
      <c r="E54" s="2">
        <v>30280</v>
      </c>
      <c r="F54" s="3">
        <v>42372</v>
      </c>
      <c r="G54" s="2">
        <v>1</v>
      </c>
      <c r="H54" s="2"/>
      <c r="I54" s="2" t="s">
        <v>228</v>
      </c>
      <c r="J54" s="4">
        <f t="shared" si="0"/>
        <v>64977.236559139783</v>
      </c>
    </row>
    <row r="55" spans="1:10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  <c r="J55" s="4">
        <f t="shared" si="0"/>
        <v>65354.380434782608</v>
      </c>
    </row>
    <row r="56" spans="1:10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  <c r="J56" s="4">
        <f t="shared" si="0"/>
        <v>65706.054945054944</v>
      </c>
    </row>
    <row r="57" spans="1:10" x14ac:dyDescent="0.3">
      <c r="A57" s="2" t="s">
        <v>64</v>
      </c>
      <c r="B57" s="2" t="s">
        <v>164</v>
      </c>
      <c r="C57" s="2"/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  <c r="J57" s="4">
        <f t="shared" si="0"/>
        <v>65595.755555555559</v>
      </c>
    </row>
    <row r="58" spans="1:10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  <c r="J58" s="4">
        <f t="shared" si="0"/>
        <v>65492.168539325845</v>
      </c>
    </row>
    <row r="59" spans="1:10" x14ac:dyDescent="0.3">
      <c r="A59" s="2" t="s">
        <v>66</v>
      </c>
      <c r="B59" s="2" t="s">
        <v>159</v>
      </c>
      <c r="C59" s="2"/>
      <c r="D59" s="2" t="s">
        <v>174</v>
      </c>
      <c r="E59" s="2">
        <v>96949</v>
      </c>
      <c r="F59" s="3">
        <v>42407</v>
      </c>
      <c r="G59" s="2">
        <v>3</v>
      </c>
      <c r="H59" s="2"/>
      <c r="I59" s="2" t="s">
        <v>207</v>
      </c>
      <c r="J59" s="4">
        <f t="shared" si="0"/>
        <v>65554.454545454544</v>
      </c>
    </row>
    <row r="60" spans="1:10" x14ac:dyDescent="0.3">
      <c r="A60" s="2" t="s">
        <v>67</v>
      </c>
      <c r="B60" s="2" t="s">
        <v>163</v>
      </c>
      <c r="C60" s="2" t="s">
        <v>170</v>
      </c>
      <c r="D60" s="2"/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  <c r="J60" s="4">
        <f t="shared" si="0"/>
        <v>65193.597701149425</v>
      </c>
    </row>
    <row r="61" spans="1:10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H61" s="2"/>
      <c r="I61" s="2" t="s">
        <v>223</v>
      </c>
      <c r="J61" s="4">
        <f t="shared" si="0"/>
        <v>64964.174418604649</v>
      </c>
    </row>
    <row r="62" spans="1:10" x14ac:dyDescent="0.3">
      <c r="A62" s="2" t="s">
        <v>69</v>
      </c>
      <c r="B62" s="2"/>
      <c r="C62" s="2" t="s">
        <v>170</v>
      </c>
      <c r="D62" s="2" t="s">
        <v>172</v>
      </c>
      <c r="E62" s="2" t="s">
        <v>177</v>
      </c>
      <c r="F62" s="2"/>
      <c r="G62" s="2">
        <v>5</v>
      </c>
      <c r="H62" s="2" t="s">
        <v>178</v>
      </c>
      <c r="I62" s="2" t="s">
        <v>233</v>
      </c>
      <c r="J62" s="4">
        <f t="shared" si="0"/>
        <v>64763.364705882355</v>
      </c>
    </row>
    <row r="63" spans="1:10" x14ac:dyDescent="0.3">
      <c r="A63" s="2" t="s">
        <v>70</v>
      </c>
      <c r="B63" s="2" t="s">
        <v>159</v>
      </c>
      <c r="C63" s="2"/>
      <c r="D63" s="2" t="s">
        <v>176</v>
      </c>
      <c r="E63" s="2">
        <v>31499</v>
      </c>
      <c r="F63" s="3">
        <v>42435</v>
      </c>
      <c r="G63" s="2">
        <v>2</v>
      </c>
      <c r="H63" s="2"/>
      <c r="I63" s="2" t="s">
        <v>215</v>
      </c>
      <c r="J63" s="4">
        <f t="shared" si="0"/>
        <v>64763.364705882355</v>
      </c>
    </row>
    <row r="64" spans="1:10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  <c r="J64" s="4">
        <f t="shared" si="0"/>
        <v>65159.369047619046</v>
      </c>
    </row>
    <row r="65" spans="1:10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  <c r="J65" s="4">
        <f t="shared" si="0"/>
        <v>64763.927710843374</v>
      </c>
    </row>
    <row r="66" spans="1:10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  <c r="J66" s="4">
        <f t="shared" ref="J66:J129" si="1">AVERAGE(E66:E215)</f>
        <v>65108.109756097561</v>
      </c>
    </row>
    <row r="67" spans="1:10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  <c r="J67" s="4">
        <f t="shared" si="1"/>
        <v>64865.777777777781</v>
      </c>
    </row>
    <row r="68" spans="1:10" x14ac:dyDescent="0.3">
      <c r="A68" s="2" t="s">
        <v>75</v>
      </c>
      <c r="B68" s="2" t="s">
        <v>163</v>
      </c>
      <c r="C68" s="2"/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  <c r="J68" s="4">
        <f t="shared" si="1"/>
        <v>65258.25</v>
      </c>
    </row>
    <row r="69" spans="1:10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  <c r="J69" s="4">
        <f t="shared" si="1"/>
        <v>64864.493670886077</v>
      </c>
    </row>
    <row r="70" spans="1:10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H70" s="2"/>
      <c r="I70" s="2" t="s">
        <v>201</v>
      </c>
      <c r="J70" s="4">
        <f t="shared" si="1"/>
        <v>64901.961538461539</v>
      </c>
    </row>
    <row r="71" spans="1:10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H71" s="2"/>
      <c r="I71" s="2" t="s">
        <v>240</v>
      </c>
      <c r="J71" s="4">
        <f t="shared" si="1"/>
        <v>65206.311688311689</v>
      </c>
    </row>
    <row r="72" spans="1:10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  <c r="J72" s="4">
        <f t="shared" si="1"/>
        <v>65049.868421052633</v>
      </c>
    </row>
    <row r="73" spans="1:10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H73" s="2"/>
      <c r="I73" s="2" t="s">
        <v>241</v>
      </c>
      <c r="J73" s="4">
        <f t="shared" si="1"/>
        <v>64984.506666666668</v>
      </c>
    </row>
    <row r="74" spans="1:10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G74" s="2"/>
      <c r="H74" s="2" t="s">
        <v>179</v>
      </c>
      <c r="I74" s="2" t="s">
        <v>190</v>
      </c>
      <c r="J74" s="4">
        <f t="shared" si="1"/>
        <v>64713.148648648646</v>
      </c>
    </row>
    <row r="75" spans="1:10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  <c r="J75" s="4">
        <f t="shared" si="1"/>
        <v>64825.493150684932</v>
      </c>
    </row>
    <row r="76" spans="1:10" x14ac:dyDescent="0.3">
      <c r="A76" s="2" t="s">
        <v>83</v>
      </c>
      <c r="B76" s="2" t="s">
        <v>163</v>
      </c>
      <c r="C76" s="2"/>
      <c r="D76" s="2" t="s">
        <v>172</v>
      </c>
      <c r="E76" s="2">
        <v>41243</v>
      </c>
      <c r="F76" s="3">
        <v>42526</v>
      </c>
      <c r="G76" s="2"/>
      <c r="H76" s="2"/>
      <c r="I76" s="2" t="s">
        <v>211</v>
      </c>
      <c r="J76" s="4">
        <f t="shared" si="1"/>
        <v>64460.555555555555</v>
      </c>
    </row>
    <row r="77" spans="1:10" x14ac:dyDescent="0.3">
      <c r="A77" s="2" t="s">
        <v>84</v>
      </c>
      <c r="B77" s="2"/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  <c r="J77" s="4">
        <f t="shared" si="1"/>
        <v>64787.563380281688</v>
      </c>
    </row>
    <row r="78" spans="1:10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  <c r="J78" s="4">
        <f t="shared" si="1"/>
        <v>64339.642857142855</v>
      </c>
    </row>
    <row r="79" spans="1:10" x14ac:dyDescent="0.3">
      <c r="A79" s="2" t="s">
        <v>86</v>
      </c>
      <c r="B79" s="2" t="s">
        <v>162</v>
      </c>
      <c r="C79" s="2"/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  <c r="J79" s="4">
        <f t="shared" si="1"/>
        <v>63905.420289855072</v>
      </c>
    </row>
    <row r="80" spans="1:10" x14ac:dyDescent="0.3">
      <c r="A80" s="2" t="s">
        <v>87</v>
      </c>
      <c r="B80" s="2" t="s">
        <v>163</v>
      </c>
      <c r="C80" s="2"/>
      <c r="D80" s="2" t="s">
        <v>175</v>
      </c>
      <c r="E80" s="2">
        <v>78245</v>
      </c>
      <c r="F80" s="3">
        <v>42554</v>
      </c>
      <c r="G80" s="2">
        <v>2</v>
      </c>
      <c r="H80" s="2"/>
      <c r="I80" s="2" t="s">
        <v>244</v>
      </c>
      <c r="J80" s="4">
        <f t="shared" si="1"/>
        <v>63828.058823529413</v>
      </c>
    </row>
    <row r="81" spans="1:10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  <c r="J81" s="4">
        <f t="shared" si="1"/>
        <v>63612.880597014926</v>
      </c>
    </row>
    <row r="82" spans="1:10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F82" s="2"/>
      <c r="G82" s="2"/>
      <c r="H82" s="2"/>
      <c r="I82" s="2" t="s">
        <v>208</v>
      </c>
      <c r="J82" s="4">
        <f t="shared" si="1"/>
        <v>63575.515151515152</v>
      </c>
    </row>
    <row r="83" spans="1:10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  <c r="J83" s="4">
        <f t="shared" si="1"/>
        <v>63575.515151515152</v>
      </c>
    </row>
    <row r="84" spans="1:10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H84" s="2"/>
      <c r="I84" s="2" t="s">
        <v>247</v>
      </c>
      <c r="J84" s="4">
        <f t="shared" si="1"/>
        <v>63082.507692307692</v>
      </c>
    </row>
    <row r="85" spans="1:10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G85" s="2"/>
      <c r="H85" s="2" t="s">
        <v>179</v>
      </c>
      <c r="I85" s="2" t="s">
        <v>248</v>
      </c>
      <c r="J85" s="4">
        <f t="shared" si="1"/>
        <v>63407.828125</v>
      </c>
    </row>
    <row r="86" spans="1:10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  <c r="J86" s="4">
        <f t="shared" si="1"/>
        <v>62833.015873015873</v>
      </c>
    </row>
    <row r="87" spans="1:10" x14ac:dyDescent="0.3">
      <c r="A87" s="2" t="s">
        <v>94</v>
      </c>
      <c r="B87" s="2" t="s">
        <v>164</v>
      </c>
      <c r="C87" s="2" t="s">
        <v>166</v>
      </c>
      <c r="D87" s="2"/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  <c r="J87" s="4">
        <f t="shared" si="1"/>
        <v>63125.774193548386</v>
      </c>
    </row>
    <row r="88" spans="1:10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  <c r="J88" s="4">
        <f t="shared" si="1"/>
        <v>63584.180327868853</v>
      </c>
    </row>
    <row r="89" spans="1:10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  <c r="J89" s="4">
        <f t="shared" si="1"/>
        <v>64085.866666666669</v>
      </c>
    </row>
    <row r="90" spans="1:10" x14ac:dyDescent="0.3">
      <c r="A90" s="2" t="s">
        <v>97</v>
      </c>
      <c r="B90" s="2" t="s">
        <v>164</v>
      </c>
      <c r="C90" s="2" t="s">
        <v>169</v>
      </c>
      <c r="D90" s="2"/>
      <c r="E90" s="2">
        <v>63434</v>
      </c>
      <c r="F90" s="3">
        <v>42624</v>
      </c>
      <c r="G90" s="2">
        <v>3</v>
      </c>
      <c r="H90" s="2"/>
      <c r="I90" s="2" t="s">
        <v>251</v>
      </c>
      <c r="J90" s="4">
        <f t="shared" si="1"/>
        <v>64234.728813559319</v>
      </c>
    </row>
    <row r="91" spans="1:10" x14ac:dyDescent="0.3">
      <c r="A91" s="2" t="s">
        <v>98</v>
      </c>
      <c r="B91" s="2" t="s">
        <v>162</v>
      </c>
      <c r="C91" s="2"/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  <c r="J91" s="4">
        <f t="shared" si="1"/>
        <v>64248.534482758623</v>
      </c>
    </row>
    <row r="92" spans="1:10" x14ac:dyDescent="0.3">
      <c r="A92" s="2" t="s">
        <v>99</v>
      </c>
      <c r="B92" s="2"/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  <c r="J92" s="4">
        <f t="shared" si="1"/>
        <v>64694.473684210527</v>
      </c>
    </row>
    <row r="93" spans="1:10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  <c r="J93" s="4">
        <f t="shared" si="1"/>
        <v>64943.642857142855</v>
      </c>
    </row>
    <row r="94" spans="1:10" x14ac:dyDescent="0.3">
      <c r="A94" s="2" t="s">
        <v>101</v>
      </c>
      <c r="B94" s="2" t="s">
        <v>162</v>
      </c>
      <c r="C94" s="2" t="s">
        <v>169</v>
      </c>
      <c r="D94" s="2"/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  <c r="J94" s="4">
        <f t="shared" si="1"/>
        <v>64862.254545454547</v>
      </c>
    </row>
    <row r="95" spans="1:10" x14ac:dyDescent="0.3">
      <c r="A95" s="2" t="s">
        <v>102</v>
      </c>
      <c r="B95" s="2" t="s">
        <v>160</v>
      </c>
      <c r="C95" s="2"/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  <c r="J95" s="4">
        <f t="shared" si="1"/>
        <v>64571.037037037036</v>
      </c>
    </row>
    <row r="96" spans="1:10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G96" s="2"/>
      <c r="H96" s="2" t="s">
        <v>181</v>
      </c>
      <c r="I96" s="2" t="s">
        <v>253</v>
      </c>
      <c r="J96" s="4">
        <f t="shared" si="1"/>
        <v>64350.905660377357</v>
      </c>
    </row>
    <row r="97" spans="1:10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G97" s="2"/>
      <c r="H97" s="2" t="s">
        <v>179</v>
      </c>
      <c r="I97" s="2" t="s">
        <v>254</v>
      </c>
      <c r="J97" s="4">
        <f t="shared" si="1"/>
        <v>64948.730769230766</v>
      </c>
    </row>
    <row r="98" spans="1:10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H98" s="2"/>
      <c r="I98" s="2" t="s">
        <v>255</v>
      </c>
      <c r="J98" s="4">
        <f t="shared" si="1"/>
        <v>64337.901960784315</v>
      </c>
    </row>
    <row r="99" spans="1:10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  <c r="J99" s="4">
        <f t="shared" si="1"/>
        <v>64165.88</v>
      </c>
    </row>
    <row r="100" spans="1:10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G100" s="2"/>
      <c r="H100" s="2" t="s">
        <v>180</v>
      </c>
      <c r="I100" s="2" t="s">
        <v>257</v>
      </c>
      <c r="J100" s="4">
        <f t="shared" si="1"/>
        <v>63652.265306122448</v>
      </c>
    </row>
    <row r="101" spans="1:10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  <c r="J101" s="4">
        <f t="shared" si="1"/>
        <v>63510.229166666664</v>
      </c>
    </row>
    <row r="102" spans="1:10" x14ac:dyDescent="0.3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  <c r="J102" s="4">
        <f t="shared" si="1"/>
        <v>63370.106382978724</v>
      </c>
    </row>
    <row r="103" spans="1:10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G103" s="2"/>
      <c r="H103" s="2" t="s">
        <v>180</v>
      </c>
      <c r="I103" s="2" t="s">
        <v>200</v>
      </c>
      <c r="J103" s="4">
        <f t="shared" si="1"/>
        <v>63370.106382978724</v>
      </c>
    </row>
    <row r="104" spans="1:10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G104" s="2"/>
      <c r="H104" s="2" t="s">
        <v>181</v>
      </c>
      <c r="I104" s="2" t="s">
        <v>260</v>
      </c>
      <c r="J104" s="4">
        <f t="shared" si="1"/>
        <v>63302</v>
      </c>
    </row>
    <row r="105" spans="1:10" x14ac:dyDescent="0.3">
      <c r="A105" s="2" t="s">
        <v>112</v>
      </c>
      <c r="B105" s="2" t="s">
        <v>160</v>
      </c>
      <c r="C105" s="2" t="s">
        <v>170</v>
      </c>
      <c r="D105" s="2"/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  <c r="J105" s="4">
        <f t="shared" si="1"/>
        <v>63773.244444444441</v>
      </c>
    </row>
    <row r="106" spans="1:10" x14ac:dyDescent="0.3">
      <c r="A106" s="2" t="s">
        <v>113</v>
      </c>
      <c r="B106" s="2" t="s">
        <v>162</v>
      </c>
      <c r="C106" s="2"/>
      <c r="D106" s="2" t="s">
        <v>176</v>
      </c>
      <c r="E106" s="2">
        <v>61556</v>
      </c>
      <c r="F106" s="3">
        <v>42736</v>
      </c>
      <c r="G106" s="2">
        <v>1</v>
      </c>
      <c r="H106" s="2"/>
      <c r="I106" s="2" t="s">
        <v>259</v>
      </c>
      <c r="J106" s="4">
        <f t="shared" si="1"/>
        <v>63423.88636363636</v>
      </c>
    </row>
    <row r="107" spans="1:10" x14ac:dyDescent="0.3">
      <c r="A107" s="2" t="s">
        <v>114</v>
      </c>
      <c r="B107" s="2"/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  <c r="J107" s="4">
        <f t="shared" si="1"/>
        <v>63467.325581395351</v>
      </c>
    </row>
    <row r="108" spans="1:10" x14ac:dyDescent="0.3">
      <c r="A108" s="2" t="s">
        <v>115</v>
      </c>
      <c r="B108" s="2" t="s">
        <v>159</v>
      </c>
      <c r="C108" s="2" t="s">
        <v>169</v>
      </c>
      <c r="D108" s="2"/>
      <c r="E108" s="2">
        <v>48325</v>
      </c>
      <c r="F108" s="3">
        <v>42750</v>
      </c>
      <c r="G108" s="2"/>
      <c r="H108" s="2" t="s">
        <v>180</v>
      </c>
      <c r="I108" s="2" t="s">
        <v>261</v>
      </c>
      <c r="J108" s="4">
        <f t="shared" si="1"/>
        <v>62884.095238095237</v>
      </c>
    </row>
    <row r="109" spans="1:10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  <c r="J109" s="4">
        <f t="shared" si="1"/>
        <v>63239.195121951219</v>
      </c>
    </row>
    <row r="110" spans="1:10" x14ac:dyDescent="0.3">
      <c r="A110" s="2" t="s">
        <v>117</v>
      </c>
      <c r="B110" s="2" t="s">
        <v>163</v>
      </c>
      <c r="C110" s="2" t="s">
        <v>167</v>
      </c>
      <c r="D110" s="2"/>
      <c r="E110" s="2">
        <v>66761</v>
      </c>
      <c r="F110" s="3">
        <v>42764</v>
      </c>
      <c r="G110" s="2">
        <v>1</v>
      </c>
      <c r="H110" s="2"/>
      <c r="I110" s="2" t="s">
        <v>262</v>
      </c>
      <c r="J110" s="4">
        <f t="shared" si="1"/>
        <v>62659.875</v>
      </c>
    </row>
    <row r="111" spans="1:10" x14ac:dyDescent="0.3">
      <c r="A111" s="2" t="s">
        <v>118</v>
      </c>
      <c r="B111" s="2" t="s">
        <v>162</v>
      </c>
      <c r="C111" s="2"/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  <c r="J111" s="4">
        <f t="shared" si="1"/>
        <v>62554.717948717946</v>
      </c>
    </row>
    <row r="112" spans="1:10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2"/>
      <c r="G112" s="2">
        <v>2</v>
      </c>
      <c r="H112" s="2" t="s">
        <v>181</v>
      </c>
      <c r="I112" s="2" t="s">
        <v>264</v>
      </c>
      <c r="J112" s="4">
        <f t="shared" si="1"/>
        <v>61862.73684210526</v>
      </c>
    </row>
    <row r="113" spans="1:10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  <c r="J113" s="4">
        <f t="shared" si="1"/>
        <v>62688.945945945947</v>
      </c>
    </row>
    <row r="114" spans="1:10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G114" s="2"/>
      <c r="H114" s="2" t="s">
        <v>179</v>
      </c>
      <c r="I114" s="2" t="s">
        <v>258</v>
      </c>
      <c r="J114" s="4">
        <f t="shared" si="1"/>
        <v>63477.361111111109</v>
      </c>
    </row>
    <row r="115" spans="1:10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  <c r="J115" s="4">
        <f t="shared" si="1"/>
        <v>63053</v>
      </c>
    </row>
    <row r="116" spans="1:10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H116" s="2"/>
      <c r="I116" s="2" t="s">
        <v>235</v>
      </c>
      <c r="J116" s="4">
        <f t="shared" si="1"/>
        <v>63505.941176470587</v>
      </c>
    </row>
    <row r="117" spans="1:10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  <c r="J117" s="4">
        <f t="shared" si="1"/>
        <v>64078.030303030304</v>
      </c>
    </row>
    <row r="118" spans="1:10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  <c r="J118" s="4">
        <f t="shared" si="1"/>
        <v>63194.75</v>
      </c>
    </row>
    <row r="119" spans="1:10" x14ac:dyDescent="0.3">
      <c r="A119" s="2" t="s">
        <v>126</v>
      </c>
      <c r="B119" s="2" t="s">
        <v>165</v>
      </c>
      <c r="C119" s="2" t="s">
        <v>170</v>
      </c>
      <c r="D119" s="2"/>
      <c r="E119" s="2">
        <v>73483</v>
      </c>
      <c r="F119" s="3">
        <v>42827</v>
      </c>
      <c r="G119" s="2">
        <v>1</v>
      </c>
      <c r="H119" s="2"/>
      <c r="I119" s="2" t="s">
        <v>266</v>
      </c>
      <c r="J119" s="4">
        <f t="shared" si="1"/>
        <v>63980.483870967742</v>
      </c>
    </row>
    <row r="120" spans="1:10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H120" s="2"/>
      <c r="I120" s="2" t="s">
        <v>267</v>
      </c>
      <c r="J120" s="4">
        <f t="shared" si="1"/>
        <v>63663.73333333333</v>
      </c>
    </row>
    <row r="121" spans="1:10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G121" s="2"/>
      <c r="H121" s="2" t="s">
        <v>181</v>
      </c>
      <c r="I121" s="2" t="s">
        <v>200</v>
      </c>
      <c r="J121" s="4">
        <f t="shared" si="1"/>
        <v>62582.068965517239</v>
      </c>
    </row>
    <row r="122" spans="1:10" x14ac:dyDescent="0.3">
      <c r="A122" s="2" t="s">
        <v>129</v>
      </c>
      <c r="B122" s="2"/>
      <c r="C122" s="2" t="s">
        <v>169</v>
      </c>
      <c r="D122" s="2" t="s">
        <v>173</v>
      </c>
      <c r="E122" s="2" t="s">
        <v>177</v>
      </c>
      <c r="F122" s="2"/>
      <c r="G122" s="2">
        <v>5</v>
      </c>
      <c r="H122" s="2" t="s">
        <v>178</v>
      </c>
      <c r="I122" s="2" t="s">
        <v>268</v>
      </c>
      <c r="J122" s="4">
        <f t="shared" si="1"/>
        <v>63232.928571428572</v>
      </c>
    </row>
    <row r="123" spans="1:10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H123" s="2"/>
      <c r="I123" s="2" t="s">
        <v>269</v>
      </c>
      <c r="J123" s="4">
        <f t="shared" si="1"/>
        <v>63232.928571428572</v>
      </c>
    </row>
    <row r="124" spans="1:10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  <c r="J124" s="4">
        <f t="shared" si="1"/>
        <v>63883.185185185182</v>
      </c>
    </row>
    <row r="125" spans="1:10" x14ac:dyDescent="0.3">
      <c r="A125" s="2" t="s">
        <v>132</v>
      </c>
      <c r="B125" s="2" t="s">
        <v>162</v>
      </c>
      <c r="C125" s="2"/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  <c r="J125" s="4">
        <f t="shared" si="1"/>
        <v>64338.846153846156</v>
      </c>
    </row>
    <row r="126" spans="1:10" x14ac:dyDescent="0.3">
      <c r="A126" s="2" t="s">
        <v>133</v>
      </c>
      <c r="B126" s="2" t="s">
        <v>161</v>
      </c>
      <c r="C126" s="2" t="s">
        <v>169</v>
      </c>
      <c r="D126" s="2"/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  <c r="J126" s="4">
        <f t="shared" si="1"/>
        <v>65698.12</v>
      </c>
    </row>
    <row r="127" spans="1:10" x14ac:dyDescent="0.3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H127" s="2"/>
      <c r="I127" s="2" t="s">
        <v>272</v>
      </c>
      <c r="J127" s="4">
        <f t="shared" si="1"/>
        <v>65934.125</v>
      </c>
    </row>
    <row r="128" spans="1:10" x14ac:dyDescent="0.3">
      <c r="A128" s="2" t="s">
        <v>135</v>
      </c>
      <c r="B128" s="2" t="s">
        <v>165</v>
      </c>
      <c r="C128" s="2"/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  <c r="J128" s="4">
        <f t="shared" si="1"/>
        <v>64886.956521739128</v>
      </c>
    </row>
    <row r="129" spans="1:10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  <c r="J129" s="4">
        <f t="shared" si="1"/>
        <v>64586.63636363636</v>
      </c>
    </row>
    <row r="130" spans="1:10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H130" s="2"/>
      <c r="I130" s="2" t="s">
        <v>274</v>
      </c>
      <c r="J130" s="4">
        <f t="shared" ref="J130:J151" si="2">AVERAGE(E130:E279)</f>
        <v>63283.476190476191</v>
      </c>
    </row>
    <row r="131" spans="1:10" x14ac:dyDescent="0.3">
      <c r="A131" s="2" t="s">
        <v>138</v>
      </c>
      <c r="B131" s="2" t="s">
        <v>165</v>
      </c>
      <c r="C131" s="2"/>
      <c r="D131" s="2" t="s">
        <v>175</v>
      </c>
      <c r="E131" s="2">
        <v>62994</v>
      </c>
      <c r="F131" s="3">
        <v>42911</v>
      </c>
      <c r="G131" s="2"/>
      <c r="H131" s="2"/>
      <c r="I131" s="2" t="s">
        <v>221</v>
      </c>
      <c r="J131" s="4">
        <f t="shared" si="2"/>
        <v>64927.55</v>
      </c>
    </row>
    <row r="132" spans="1:10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2"/>
      <c r="G132" s="2">
        <v>3</v>
      </c>
      <c r="H132" s="2" t="s">
        <v>180</v>
      </c>
      <c r="I132" s="2" t="s">
        <v>189</v>
      </c>
      <c r="J132" s="4">
        <f t="shared" si="2"/>
        <v>65029.315789473687</v>
      </c>
    </row>
    <row r="133" spans="1:10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  <c r="J133" s="4">
        <f t="shared" si="2"/>
        <v>65959.333333333328</v>
      </c>
    </row>
    <row r="134" spans="1:10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  <c r="J134" s="4">
        <f t="shared" si="2"/>
        <v>67815.647058823524</v>
      </c>
    </row>
    <row r="135" spans="1:10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H135" s="2"/>
      <c r="I135" s="2" t="s">
        <v>264</v>
      </c>
      <c r="J135" s="4">
        <f t="shared" si="2"/>
        <v>69636.75</v>
      </c>
    </row>
    <row r="136" spans="1:10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  <c r="J136" s="4">
        <f t="shared" si="2"/>
        <v>71228.666666666672</v>
      </c>
    </row>
    <row r="137" spans="1:10" x14ac:dyDescent="0.3">
      <c r="A137" s="2" t="s">
        <v>144</v>
      </c>
      <c r="B137" s="2"/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  <c r="J137" s="4">
        <f t="shared" si="2"/>
        <v>71853.857142857145</v>
      </c>
    </row>
    <row r="138" spans="1:10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  <c r="J138" s="4">
        <f t="shared" si="2"/>
        <v>74359.538461538468</v>
      </c>
    </row>
    <row r="139" spans="1:10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G139" s="2"/>
      <c r="H139" s="2"/>
      <c r="I139" s="2" t="s">
        <v>276</v>
      </c>
      <c r="J139" s="4">
        <f t="shared" si="2"/>
        <v>75528.25</v>
      </c>
    </row>
    <row r="140" spans="1:10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  <c r="J140" s="4">
        <f t="shared" si="2"/>
        <v>74670.090909090912</v>
      </c>
    </row>
    <row r="141" spans="1:10" x14ac:dyDescent="0.3">
      <c r="A141" s="2" t="s">
        <v>148</v>
      </c>
      <c r="B141" s="2" t="s">
        <v>165</v>
      </c>
      <c r="C141" s="2" t="s">
        <v>169</v>
      </c>
      <c r="D141" s="2"/>
      <c r="E141" s="2">
        <v>73348</v>
      </c>
      <c r="F141" s="3">
        <v>42981</v>
      </c>
      <c r="G141" s="2">
        <v>2</v>
      </c>
      <c r="H141" s="2"/>
      <c r="I141" s="2" t="s">
        <v>243</v>
      </c>
      <c r="J141" s="4">
        <f t="shared" si="2"/>
        <v>73662.100000000006</v>
      </c>
    </row>
    <row r="142" spans="1:10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  <c r="J142" s="4">
        <f t="shared" si="2"/>
        <v>73697</v>
      </c>
    </row>
    <row r="143" spans="1:10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  <c r="J143" s="4">
        <f t="shared" si="2"/>
        <v>73697</v>
      </c>
    </row>
    <row r="144" spans="1:10" x14ac:dyDescent="0.3">
      <c r="A144" s="2" t="s">
        <v>151</v>
      </c>
      <c r="B144" s="2" t="s">
        <v>160</v>
      </c>
      <c r="C144" s="2" t="s">
        <v>170</v>
      </c>
      <c r="D144" s="2"/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  <c r="J144" s="4">
        <f t="shared" si="2"/>
        <v>74548.875</v>
      </c>
    </row>
    <row r="145" spans="1:10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G145" s="2"/>
      <c r="H145" s="2"/>
      <c r="I145" s="2" t="s">
        <v>277</v>
      </c>
      <c r="J145" s="4">
        <f t="shared" si="2"/>
        <v>72802.28571428571</v>
      </c>
    </row>
    <row r="146" spans="1:10" x14ac:dyDescent="0.3">
      <c r="A146" s="2" t="s">
        <v>153</v>
      </c>
      <c r="B146" s="2" t="s">
        <v>159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2" t="s">
        <v>278</v>
      </c>
      <c r="J146" s="4">
        <f t="shared" si="2"/>
        <v>69666</v>
      </c>
    </row>
    <row r="147" spans="1:10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  <c r="J147" s="4">
        <f t="shared" si="2"/>
        <v>64769.599999999999</v>
      </c>
    </row>
    <row r="148" spans="1:10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H148" s="2"/>
      <c r="I148" s="2" t="s">
        <v>276</v>
      </c>
      <c r="J148" s="4">
        <f t="shared" si="2"/>
        <v>72055.25</v>
      </c>
    </row>
    <row r="149" spans="1:10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H149" s="2"/>
      <c r="I149" s="2" t="s">
        <v>279</v>
      </c>
      <c r="J149" s="4">
        <f t="shared" si="2"/>
        <v>77026.666666666672</v>
      </c>
    </row>
    <row r="150" spans="1:10" x14ac:dyDescent="0.3">
      <c r="A150" s="2" t="s">
        <v>157</v>
      </c>
      <c r="B150" s="2" t="s">
        <v>165</v>
      </c>
      <c r="C150" s="2"/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  <c r="J150" s="4">
        <f t="shared" si="2"/>
        <v>82905</v>
      </c>
    </row>
    <row r="151" spans="1:10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  <c r="J151" s="4">
        <f t="shared" si="2"/>
        <v>98475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riyash</cp:lastModifiedBy>
  <dcterms:created xsi:type="dcterms:W3CDTF">2025-05-31T18:11:07Z</dcterms:created>
  <dcterms:modified xsi:type="dcterms:W3CDTF">2026-01-26T15:29:02Z</dcterms:modified>
</cp:coreProperties>
</file>