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SH\Downloads\"/>
    </mc:Choice>
  </mc:AlternateContent>
  <xr:revisionPtr revIDLastSave="0" documentId="13_ncr:1_{8A959C65-BE6A-4C83-A3CD-C51525F5F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Q26" i="1"/>
  <c r="Q27" i="1"/>
  <c r="Q28" i="1"/>
  <c r="Q29" i="1"/>
  <c r="Q30" i="1"/>
  <c r="Q31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9" i="1"/>
  <c r="Q20" i="1"/>
  <c r="Q21" i="1"/>
  <c r="Q22" i="1"/>
  <c r="Q23" i="1"/>
  <c r="Q24" i="1"/>
  <c r="Q25" i="1"/>
  <c r="Q7" i="1"/>
  <c r="Q8" i="1"/>
  <c r="Q9" i="1"/>
  <c r="Q10" i="1"/>
  <c r="Q11" i="1"/>
  <c r="Q12" i="1"/>
  <c r="Q13" i="1"/>
  <c r="Q14" i="1"/>
  <c r="Q15" i="1"/>
  <c r="Q16" i="1"/>
  <c r="Q18" i="1"/>
  <c r="Q3" i="1"/>
  <c r="Q4" i="1"/>
  <c r="Q5" i="1"/>
  <c r="Q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P19" i="1"/>
  <c r="P18" i="1"/>
  <c r="P15" i="1"/>
  <c r="P17" i="1"/>
  <c r="P1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</calcChain>
</file>

<file path=xl/sharedStrings.xml><?xml version="1.0" encoding="utf-8"?>
<sst xmlns="http://schemas.openxmlformats.org/spreadsheetml/2006/main" count="826" uniqueCount="293">
  <si>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</si>
  <si>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</si>
  <si>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</si>
  <si>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</si>
  <si>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</si>
  <si>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</si>
  <si>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</si>
  <si>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</si>
  <si>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</si>
  <si>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</si>
  <si>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</si>
  <si>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</si>
  <si>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</si>
  <si>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</si>
  <si>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</si>
  <si>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</si>
  <si>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</si>
  <si>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</si>
  <si>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</si>
  <si>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</si>
  <si>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</si>
  <si>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</si>
  <si>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</si>
  <si>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</si>
  <si>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</si>
  <si>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</si>
  <si>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</si>
  <si>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</si>
  <si>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</si>
  <si>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</si>
  <si>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</si>
  <si>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</si>
  <si>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</si>
  <si>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</si>
  <si>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</si>
  <si>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</si>
  <si>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</si>
  <si>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</si>
  <si>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</si>
  <si>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</si>
  <si>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</si>
  <si>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</si>
  <si>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</si>
  <si>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</si>
  <si>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</si>
  <si>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</si>
  <si>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</si>
  <si>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</si>
  <si>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</si>
  <si>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</si>
  <si>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</si>
  <si>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</si>
  <si>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</si>
  <si>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</si>
  <si>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</si>
  <si>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</si>
  <si>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</si>
  <si>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</si>
  <si>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</si>
  <si>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</si>
  <si>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</si>
  <si>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</si>
  <si>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</si>
  <si>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</si>
  <si>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</si>
  <si>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</si>
  <si>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</si>
  <si>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</si>
  <si>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</si>
  <si>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</si>
  <si>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</si>
  <si>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</si>
  <si>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</si>
  <si>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</si>
  <si>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</si>
  <si>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</si>
  <si>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</si>
  <si>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</si>
  <si>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</si>
  <si>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</si>
  <si>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</si>
  <si>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</si>
  <si>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</si>
  <si>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</si>
  <si>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</si>
  <si>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</si>
  <si>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</si>
  <si>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</si>
  <si>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</si>
  <si>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</si>
  <si>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</si>
  <si>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</si>
  <si>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</si>
  <si>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</si>
  <si>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</si>
  <si>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</si>
  <si>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</si>
  <si>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</si>
  <si>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</si>
  <si>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</si>
  <si>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</si>
  <si>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</si>
  <si>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</si>
  <si>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</si>
  <si>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</si>
  <si>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</si>
  <si>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</si>
  <si>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</si>
  <si>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</si>
  <si>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</si>
  <si>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</si>
  <si>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</si>
  <si>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</si>
  <si>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</si>
  <si>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</si>
  <si>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</si>
  <si>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</si>
  <si>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</si>
  <si>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</si>
  <si>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</si>
  <si>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</si>
  <si>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</si>
  <si>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</si>
  <si>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</si>
  <si>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</si>
  <si>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</si>
  <si>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</si>
  <si>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</si>
  <si>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</si>
  <si>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</si>
  <si>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</si>
  <si>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</si>
  <si>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</si>
  <si>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</si>
  <si>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</si>
  <si>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</si>
  <si>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</si>
  <si>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</si>
  <si>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</si>
  <si>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</si>
  <si>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</si>
  <si>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</si>
  <si>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</si>
  <si>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</si>
  <si>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</si>
  <si>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</si>
  <si>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</si>
  <si>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</si>
  <si>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</si>
  <si>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</si>
  <si>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</si>
  <si>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</si>
  <si>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</si>
  <si>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</si>
  <si>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</si>
  <si>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</si>
  <si>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</si>
  <si>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</si>
  <si>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</si>
  <si>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</si>
  <si>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</si>
  <si>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</si>
  <si>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</si>
  <si>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</si>
  <si>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</si>
  <si>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</si>
  <si>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</si>
  <si>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</si>
  <si>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</si>
  <si>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</si>
  <si>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</si>
  <si>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</si>
  <si>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</si>
  <si>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</si>
  <si>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</si>
  <si>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</si>
  <si>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</si>
  <si>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</si>
  <si>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</si>
  <si>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</si>
  <si>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</si>
  <si>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</si>
  <si>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</si>
  <si>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</si>
  <si>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</si>
  <si>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</si>
  <si>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</si>
  <si>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</si>
  <si>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</si>
  <si>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</si>
  <si>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</si>
  <si>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</si>
  <si>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</si>
  <si>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</si>
  <si>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</si>
  <si>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</si>
  <si>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</si>
  <si>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</si>
  <si>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</si>
  <si>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</si>
  <si>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</si>
  <si>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</si>
  <si>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</si>
  <si>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</si>
  <si>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</si>
  <si>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</si>
  <si>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</si>
  <si>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</si>
  <si>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</si>
  <si>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</si>
  <si>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</si>
  <si>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</si>
  <si>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</si>
  <si>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</si>
  <si>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</si>
  <si>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</si>
  <si>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</si>
  <si>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</si>
  <si>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</si>
  <si>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</si>
  <si>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</si>
  <si>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</si>
  <si>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</si>
  <si>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</si>
  <si>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</si>
  <si>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</si>
  <si>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</si>
  <si>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</si>
  <si>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</si>
  <si>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</si>
  <si>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</si>
  <si>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</si>
  <si>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</si>
  <si>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</si>
  <si>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</si>
  <si>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</si>
  <si>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</si>
  <si>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</si>
  <si>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</si>
  <si>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</si>
  <si>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</si>
  <si>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</si>
  <si>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</si>
  <si>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</si>
  <si>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</si>
  <si>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</si>
  <si>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</si>
  <si>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</si>
  <si>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</si>
  <si>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</si>
  <si>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</si>
  <si>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</si>
  <si>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</si>
  <si>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</si>
  <si>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</si>
  <si>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</si>
  <si>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</si>
  <si>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</si>
  <si>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</si>
  <si>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</si>
  <si>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</si>
  <si>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</si>
  <si>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</si>
  <si>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</si>
  <si>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</si>
  <si>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</si>
  <si>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</si>
  <si>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</si>
  <si>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</si>
  <si>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</si>
  <si>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</si>
  <si>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</si>
  <si>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</si>
  <si>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</si>
  <si>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</si>
  <si>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</si>
  <si>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</si>
  <si>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</si>
  <si>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</si>
  <si>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</si>
  <si>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</si>
  <si>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Average Salary</t>
  </si>
  <si>
    <t>Average performance</t>
  </si>
  <si>
    <t>Median</t>
  </si>
  <si>
    <t>Median2</t>
  </si>
  <si>
    <t>Minimum</t>
  </si>
  <si>
    <t>Maximum</t>
  </si>
  <si>
    <t>IT Salary</t>
  </si>
  <si>
    <t>Male Salary</t>
  </si>
  <si>
    <t>Female Salary</t>
  </si>
  <si>
    <t>Trim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</si>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</sst>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3" fillId="3" borderId="2" xfId="1" applyBorder="1" applyAlignment="1">
      <alignment horizontal="center"/>
    </xf>
  </cellXfs>
  <cellStyles count="2">
    <cellStyle name="Accent1" xfId="1" builtinId="29"/>
    <cellStyle name="Normal" xfId="0" builtinId="0"/>
  </cellStyles>
  <dxfs count="9"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8B958D-3818-4711-8726-816AB60C0872}" name="Table1" displayName="Table1" ref="A1:N151" totalsRowShown="0" headerRowDxfId="8" headerRowBorderDxfId="7" tableBorderDxfId="6">
  <autoFilter ref="A1:N151" xr:uid="{978B958D-3818-4711-8726-816AB60C0872}"/>
  <tableColumns count="14">
    <tableColumn id="1" xr3:uid="{A500AC5B-2921-48CB-949C-1B4E166374E9}" name="Employee ID"/>
    <tableColumn id="2" xr3:uid="{225719AE-12F2-4969-8C07-9396A5FC44A6}" name="Name"/>
    <tableColumn id="3" xr3:uid="{7F7F1135-162E-4224-BC90-A7FDE9779A0E}" name="Department"/>
    <tableColumn id="4" xr3:uid="{1B007ECE-0231-4FC6-AD45-D16F28CCEB32}" name="Country"/>
    <tableColumn id="5" xr3:uid="{202407AC-D214-45A9-B361-836FF1A21871}" name="Salary"/>
    <tableColumn id="6" xr3:uid="{82B80219-0A34-4023-BB6C-51723A18A36C}" name="Date of Joining" dataDxfId="5"/>
    <tableColumn id="7" xr3:uid="{7C112EAD-B1E2-4BCF-BF1F-8B8C4A6F4B19}" name="Performance Rating"/>
    <tableColumn id="8" xr3:uid="{36297C66-F3CB-45A2-939E-CF64904A264D}" name="Gender"/>
    <tableColumn id="9" xr3:uid="{3C978CB7-B4B6-41C2-9F33-E1EABD7A292B}" name="Email"/>
    <tableColumn id="16" xr3:uid="{F26934AD-8DB4-4CAB-A6BD-4D8003848A29}" name="Trim" dataDxfId="0">
      <calculatedColumnFormula>TRIM(B2)</calculatedColumnFormula>
    </tableColumn>
    <tableColumn id="10" xr3:uid="{2945050B-31B5-4CAA-A2EA-92A0F8B6D071}" name="Average Salary" dataDxfId="4">
      <calculatedColumnFormula>AVERAGE(E2:E151)</calculatedColumnFormula>
    </tableColumn>
    <tableColumn id="11" xr3:uid="{737FEC03-6894-4C38-A112-E438654AD6BE}" name="Average performance" dataDxfId="3">
      <calculatedColumnFormula>AVERAGE(G2:G151)</calculatedColumnFormula>
    </tableColumn>
    <tableColumn id="12" xr3:uid="{74C09B7A-4239-4793-A82F-2617BFBACFF3}" name="Median" dataDxfId="2">
      <calculatedColumnFormula>MEDIAN(E2:E151)</calculatedColumnFormula>
    </tableColumn>
    <tableColumn id="13" xr3:uid="{2AA03B25-6048-4BD2-9D51-1C3570B1F52B}" name="Median2" dataDxfId="1">
      <calculatedColumnFormula>MEDIAN(G2:G151)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topLeftCell="K1" workbookViewId="0">
      <selection activeCell="U5" sqref="U5"/>
    </sheetView>
  </sheetViews>
  <sheetFormatPr defaultRowHeight="14.4" x14ac:dyDescent="0.3"/>
  <cols>
    <col min="1" max="1" width="16" bestFit="1" customWidth="1"/>
    <col min="2" max="2" width="11.33203125" bestFit="1" customWidth="1"/>
    <col min="3" max="3" width="15.5546875" bestFit="1" customWidth="1"/>
    <col min="4" max="4" width="12.21875" bestFit="1" customWidth="1"/>
    <col min="5" max="5" width="10.5546875" bestFit="1" customWidth="1"/>
    <col min="6" max="6" width="18.109375" bestFit="1" customWidth="1"/>
    <col min="7" max="7" width="22.33203125" bestFit="1" customWidth="1"/>
    <col min="8" max="8" width="11.5546875" bestFit="1" customWidth="1"/>
    <col min="9" max="9" width="20.44140625" bestFit="1" customWidth="1"/>
    <col min="10" max="10" width="20.44140625" style="5" customWidth="1"/>
    <col min="11" max="11" width="13.44140625" style="5" customWidth="1"/>
    <col min="12" max="12" width="14" customWidth="1"/>
    <col min="13" max="13" width="9.6640625" customWidth="1"/>
    <col min="14" max="14" width="10" customWidth="1"/>
    <col min="15" max="15" width="11.33203125" customWidth="1"/>
    <col min="17" max="17" width="9.88671875" style="5" customWidth="1"/>
    <col min="18" max="18" width="11.8867187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290</v>
      </c>
      <c r="K1" s="2" t="s">
        <v>281</v>
      </c>
      <c r="L1" s="2" t="s">
        <v>282</v>
      </c>
      <c r="M1" s="2" t="s">
        <v>283</v>
      </c>
      <c r="N1" s="2" t="s">
        <v>284</v>
      </c>
      <c r="Q1" s="8" t="s">
        <v>291</v>
      </c>
      <c r="R1" s="8" t="s">
        <v>292</v>
      </c>
    </row>
    <row r="2" spans="1:18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  <c r="J2" s="5" t="str">
        <f t="shared" ref="J2:J33" si="0">TRIM(B2)</f>
        <v/>
      </c>
      <c r="K2" s="4">
        <f>AVERAGE(E2:E151)</f>
        <v>66280.929577464791</v>
      </c>
      <c r="L2" s="3">
        <f t="shared" ref="L2:L65" si="1">AVERAGE(G2:G151)</f>
        <v>2.8719999999999999</v>
      </c>
      <c r="M2" s="5">
        <f t="shared" ref="M2:M33" si="2">MEDIAN(E2:E151)</f>
        <v>66637</v>
      </c>
      <c r="N2" s="5">
        <f t="shared" ref="N2:N33" si="3">MEDIAN(G2:G151)</f>
        <v>3</v>
      </c>
      <c r="Q2" s="8"/>
      <c r="R2" s="8"/>
    </row>
    <row r="3" spans="1:18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1">
        <v>42015</v>
      </c>
      <c r="G3">
        <v>1</v>
      </c>
      <c r="H3" t="s">
        <v>179</v>
      </c>
      <c r="I3" t="s">
        <v>183</v>
      </c>
      <c r="J3" s="5" t="str">
        <f t="shared" si="0"/>
        <v>Eve Adams</v>
      </c>
      <c r="K3" s="4">
        <f t="shared" ref="K3:K65" si="4">AVERAGE(E3:E152)</f>
        <v>66280.929577464791</v>
      </c>
      <c r="L3" s="3">
        <f t="shared" si="1"/>
        <v>2.879032258064516</v>
      </c>
      <c r="M3" s="5">
        <f t="shared" si="2"/>
        <v>66637</v>
      </c>
      <c r="N3" s="5">
        <f t="shared" si="3"/>
        <v>3</v>
      </c>
      <c r="Q3" s="8" t="str">
        <f t="shared" ref="Q3:Q66" si="5">LEFT(B3, FIND(" ", B3)-1)</f>
        <v>Eve</v>
      </c>
      <c r="R3" s="8" t="str">
        <f t="shared" ref="R3:R66" si="6">RIGHT(B3, LEN(B3)-FIND(" ", B3))</f>
        <v>Adams</v>
      </c>
    </row>
    <row r="4" spans="1:18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1">
        <v>42022</v>
      </c>
      <c r="G4">
        <v>2</v>
      </c>
      <c r="I4" t="s">
        <v>184</v>
      </c>
      <c r="J4" s="5" t="str">
        <f t="shared" si="0"/>
        <v>Alice Brown</v>
      </c>
      <c r="K4" s="4">
        <f t="shared" si="4"/>
        <v>66366.219858156022</v>
      </c>
      <c r="L4" s="3">
        <f t="shared" si="1"/>
        <v>2.8943089430894311</v>
      </c>
      <c r="M4" s="5">
        <f t="shared" si="2"/>
        <v>66761</v>
      </c>
      <c r="N4" s="5">
        <f t="shared" si="3"/>
        <v>3</v>
      </c>
      <c r="Q4" s="8" t="str">
        <f t="shared" si="5"/>
        <v>Alice</v>
      </c>
      <c r="R4" s="8" t="str">
        <f t="shared" si="6"/>
        <v>Brown</v>
      </c>
    </row>
    <row r="5" spans="1:18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1">
        <v>42029</v>
      </c>
      <c r="G5">
        <v>1</v>
      </c>
      <c r="H5" t="s">
        <v>180</v>
      </c>
      <c r="I5" t="s">
        <v>185</v>
      </c>
      <c r="J5" s="5" t="str">
        <f t="shared" si="0"/>
        <v>John Doe</v>
      </c>
      <c r="K5" s="4">
        <f t="shared" si="4"/>
        <v>66388.95</v>
      </c>
      <c r="L5" s="3">
        <f t="shared" si="1"/>
        <v>2.901639344262295</v>
      </c>
      <c r="M5" s="5">
        <f t="shared" si="2"/>
        <v>66821.5</v>
      </c>
      <c r="N5" s="5">
        <f t="shared" si="3"/>
        <v>3</v>
      </c>
      <c r="Q5" s="8" t="str">
        <f t="shared" si="5"/>
        <v>John</v>
      </c>
      <c r="R5" s="8" t="str">
        <f t="shared" si="6"/>
        <v>Doe</v>
      </c>
    </row>
    <row r="6" spans="1:18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1">
        <v>42036</v>
      </c>
      <c r="G6">
        <v>1</v>
      </c>
      <c r="H6" t="s">
        <v>180</v>
      </c>
      <c r="I6" t="s">
        <v>186</v>
      </c>
      <c r="J6" s="5" t="str">
        <f t="shared" si="0"/>
        <v>Jane Smith</v>
      </c>
      <c r="K6" s="4">
        <f t="shared" si="4"/>
        <v>66187.388489208635</v>
      </c>
      <c r="L6" s="3">
        <f t="shared" si="1"/>
        <v>2.9173553719008263</v>
      </c>
      <c r="M6" s="5">
        <f t="shared" si="2"/>
        <v>66761</v>
      </c>
      <c r="N6" s="5">
        <f t="shared" si="3"/>
        <v>3</v>
      </c>
      <c r="Q6" s="8" t="str">
        <f t="shared" si="5"/>
        <v>Jane</v>
      </c>
      <c r="R6" s="8" t="str">
        <f t="shared" si="6"/>
        <v>Smith</v>
      </c>
    </row>
    <row r="7" spans="1:18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1">
        <v>42043</v>
      </c>
      <c r="G7">
        <v>2</v>
      </c>
      <c r="H7" t="s">
        <v>181</v>
      </c>
      <c r="I7" t="s">
        <v>187</v>
      </c>
      <c r="J7" s="5" t="str">
        <f t="shared" si="0"/>
        <v>Alice Brown</v>
      </c>
      <c r="K7" s="4">
        <f t="shared" si="4"/>
        <v>66202.369565217392</v>
      </c>
      <c r="L7" s="3">
        <f t="shared" si="1"/>
        <v>2.9333333333333331</v>
      </c>
      <c r="M7" s="5">
        <f t="shared" si="2"/>
        <v>66821.5</v>
      </c>
      <c r="N7" s="5">
        <f t="shared" si="3"/>
        <v>3</v>
      </c>
      <c r="Q7" s="8" t="str">
        <f t="shared" si="5"/>
        <v>Alice</v>
      </c>
      <c r="R7" s="8" t="str">
        <f t="shared" si="6"/>
        <v>Brown</v>
      </c>
    </row>
    <row r="8" spans="1:18" x14ac:dyDescent="0.3">
      <c r="A8" t="s">
        <v>15</v>
      </c>
      <c r="B8" t="s">
        <v>163</v>
      </c>
      <c r="C8" t="s">
        <v>168</v>
      </c>
      <c r="E8">
        <v>67721</v>
      </c>
      <c r="F8" s="1">
        <v>42050</v>
      </c>
      <c r="H8" t="s">
        <v>180</v>
      </c>
      <c r="I8" t="s">
        <v>185</v>
      </c>
      <c r="J8" s="5" t="str">
        <f t="shared" si="0"/>
        <v>Sam Wilson</v>
      </c>
      <c r="K8" s="4">
        <f t="shared" si="4"/>
        <v>66113.182481751821</v>
      </c>
      <c r="L8" s="3">
        <f t="shared" si="1"/>
        <v>2.9411764705882355</v>
      </c>
      <c r="M8" s="5">
        <f t="shared" si="2"/>
        <v>66761</v>
      </c>
      <c r="N8" s="5">
        <f t="shared" si="3"/>
        <v>3</v>
      </c>
      <c r="Q8" s="8" t="str">
        <f t="shared" si="5"/>
        <v>Sam</v>
      </c>
      <c r="R8" s="8" t="str">
        <f t="shared" si="6"/>
        <v>Wilson</v>
      </c>
    </row>
    <row r="9" spans="1:18" x14ac:dyDescent="0.3">
      <c r="A9" t="s">
        <v>16</v>
      </c>
      <c r="B9" t="s">
        <v>164</v>
      </c>
      <c r="C9" t="s">
        <v>170</v>
      </c>
      <c r="E9">
        <v>35364</v>
      </c>
      <c r="F9" s="1">
        <v>42057</v>
      </c>
      <c r="G9">
        <v>2</v>
      </c>
      <c r="H9" t="s">
        <v>179</v>
      </c>
      <c r="I9" t="s">
        <v>188</v>
      </c>
      <c r="J9" s="5" t="str">
        <f t="shared" si="0"/>
        <v>Chris Lee</v>
      </c>
      <c r="K9" s="4">
        <f t="shared" si="4"/>
        <v>66101.36029411765</v>
      </c>
      <c r="L9" s="3">
        <f t="shared" si="1"/>
        <v>2.9411764705882355</v>
      </c>
      <c r="M9" s="5">
        <f t="shared" si="2"/>
        <v>66637</v>
      </c>
      <c r="N9" s="5">
        <f t="shared" si="3"/>
        <v>3</v>
      </c>
      <c r="Q9" s="8" t="str">
        <f t="shared" si="5"/>
        <v>Chris</v>
      </c>
      <c r="R9" s="8" t="str">
        <f t="shared" si="6"/>
        <v>Lee</v>
      </c>
    </row>
    <row r="10" spans="1:18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1">
        <v>42064</v>
      </c>
      <c r="H10" t="s">
        <v>181</v>
      </c>
      <c r="I10" t="s">
        <v>189</v>
      </c>
      <c r="J10" s="5" t="str">
        <f t="shared" si="0"/>
        <v>Alice Brown</v>
      </c>
      <c r="K10" s="4">
        <f t="shared" si="4"/>
        <v>66329.044444444444</v>
      </c>
      <c r="L10" s="3">
        <f t="shared" si="1"/>
        <v>2.9491525423728815</v>
      </c>
      <c r="M10" s="5">
        <f t="shared" si="2"/>
        <v>66761</v>
      </c>
      <c r="N10" s="5">
        <f t="shared" si="3"/>
        <v>3</v>
      </c>
      <c r="Q10" s="8" t="str">
        <f t="shared" si="5"/>
        <v>Alice</v>
      </c>
      <c r="R10" s="8" t="str">
        <f t="shared" si="6"/>
        <v>Brown</v>
      </c>
    </row>
    <row r="11" spans="1:18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1">
        <v>42071</v>
      </c>
      <c r="H11" t="s">
        <v>180</v>
      </c>
      <c r="I11" t="s">
        <v>190</v>
      </c>
      <c r="J11" s="5" t="str">
        <f t="shared" si="0"/>
        <v>Chris Lee</v>
      </c>
      <c r="K11" s="4">
        <f t="shared" si="4"/>
        <v>66093.582089552234</v>
      </c>
      <c r="L11" s="3">
        <f t="shared" si="1"/>
        <v>2.9491525423728815</v>
      </c>
      <c r="M11" s="5">
        <f t="shared" si="2"/>
        <v>66637</v>
      </c>
      <c r="N11" s="5">
        <f t="shared" si="3"/>
        <v>3</v>
      </c>
      <c r="Q11" s="8" t="str">
        <f t="shared" si="5"/>
        <v>Chris</v>
      </c>
      <c r="R11" s="8" t="str">
        <f t="shared" si="6"/>
        <v>Lee</v>
      </c>
    </row>
    <row r="12" spans="1:18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1">
        <v>42078</v>
      </c>
      <c r="G12">
        <v>1</v>
      </c>
      <c r="H12" t="s">
        <v>181</v>
      </c>
      <c r="I12" t="s">
        <v>191</v>
      </c>
      <c r="J12" s="5" t="str">
        <f t="shared" si="0"/>
        <v>Sam Wilson</v>
      </c>
      <c r="K12" s="4">
        <f t="shared" si="4"/>
        <v>65899.954887218046</v>
      </c>
      <c r="L12" s="3">
        <f t="shared" si="1"/>
        <v>2.9491525423728815</v>
      </c>
      <c r="M12" s="5">
        <f t="shared" si="2"/>
        <v>66513</v>
      </c>
      <c r="N12" s="5">
        <f t="shared" si="3"/>
        <v>3</v>
      </c>
      <c r="Q12" s="8" t="str">
        <f t="shared" si="5"/>
        <v>Sam</v>
      </c>
      <c r="R12" s="8" t="str">
        <f t="shared" si="6"/>
        <v>Wilson</v>
      </c>
    </row>
    <row r="13" spans="1:18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1">
        <v>42085</v>
      </c>
      <c r="G13">
        <v>5</v>
      </c>
      <c r="H13" t="s">
        <v>180</v>
      </c>
      <c r="I13" t="s">
        <v>192</v>
      </c>
      <c r="J13" s="5" t="str">
        <f t="shared" si="0"/>
        <v>Sam Wilson</v>
      </c>
      <c r="K13" s="4">
        <f t="shared" si="4"/>
        <v>65912.477272727279</v>
      </c>
      <c r="L13" s="3">
        <f t="shared" si="1"/>
        <v>2.9658119658119659</v>
      </c>
      <c r="M13" s="5">
        <f t="shared" si="2"/>
        <v>66637</v>
      </c>
      <c r="N13" s="5">
        <f t="shared" si="3"/>
        <v>3</v>
      </c>
      <c r="Q13" s="8" t="str">
        <f t="shared" si="5"/>
        <v>Sam</v>
      </c>
      <c r="R13" s="8" t="str">
        <f t="shared" si="6"/>
        <v>Wilson</v>
      </c>
    </row>
    <row r="14" spans="1:18" x14ac:dyDescent="0.3">
      <c r="A14" t="s">
        <v>21</v>
      </c>
      <c r="B14" t="s">
        <v>165</v>
      </c>
      <c r="C14" t="s">
        <v>168</v>
      </c>
      <c r="E14">
        <v>96418</v>
      </c>
      <c r="F14" s="1">
        <v>42092</v>
      </c>
      <c r="G14">
        <v>5</v>
      </c>
      <c r="H14" t="s">
        <v>180</v>
      </c>
      <c r="I14" t="s">
        <v>183</v>
      </c>
      <c r="J14" s="5" t="str">
        <f t="shared" si="0"/>
        <v>Bob Johnson</v>
      </c>
      <c r="K14" s="4">
        <f t="shared" si="4"/>
        <v>65719.595419847334</v>
      </c>
      <c r="L14" s="3">
        <f t="shared" si="1"/>
        <v>2.9482758620689653</v>
      </c>
      <c r="M14" s="5">
        <f t="shared" si="2"/>
        <v>66513</v>
      </c>
      <c r="N14" s="5">
        <f t="shared" si="3"/>
        <v>3</v>
      </c>
      <c r="Q14" s="8" t="str">
        <f t="shared" si="5"/>
        <v>Bob</v>
      </c>
      <c r="R14" s="8" t="str">
        <f t="shared" si="6"/>
        <v>Johnson</v>
      </c>
    </row>
    <row r="15" spans="1:18" x14ac:dyDescent="0.3">
      <c r="A15" t="s">
        <v>22</v>
      </c>
      <c r="B15" t="s">
        <v>163</v>
      </c>
      <c r="D15" t="s">
        <v>174</v>
      </c>
      <c r="E15">
        <v>62158</v>
      </c>
      <c r="F15" s="1">
        <v>42099</v>
      </c>
      <c r="G15">
        <v>4</v>
      </c>
      <c r="I15" t="s">
        <v>193</v>
      </c>
      <c r="J15" s="5" t="str">
        <f t="shared" si="0"/>
        <v>Sam Wilson</v>
      </c>
      <c r="K15" s="4">
        <f t="shared" si="4"/>
        <v>65483.453846153847</v>
      </c>
      <c r="L15" s="3">
        <f t="shared" si="1"/>
        <v>2.9304347826086956</v>
      </c>
      <c r="M15" s="5">
        <f t="shared" si="2"/>
        <v>66508</v>
      </c>
      <c r="N15" s="5">
        <f t="shared" si="3"/>
        <v>3</v>
      </c>
      <c r="O15" s="6" t="s">
        <v>287</v>
      </c>
      <c r="P15" s="7">
        <f>AVERAGEIF(C2:C151, "IT", E2:E151)</f>
        <v>66157.5</v>
      </c>
      <c r="Q15" s="8" t="str">
        <f t="shared" si="5"/>
        <v>Sam</v>
      </c>
      <c r="R15" s="8" t="str">
        <f t="shared" si="6"/>
        <v>Wilson</v>
      </c>
    </row>
    <row r="16" spans="1:18" x14ac:dyDescent="0.3">
      <c r="A16" t="s">
        <v>23</v>
      </c>
      <c r="B16" t="s">
        <v>162</v>
      </c>
      <c r="C16" t="s">
        <v>167</v>
      </c>
      <c r="E16">
        <v>59894</v>
      </c>
      <c r="F16" s="1">
        <v>42106</v>
      </c>
      <c r="G16">
        <v>2</v>
      </c>
      <c r="H16" t="s">
        <v>180</v>
      </c>
      <c r="I16" t="s">
        <v>194</v>
      </c>
      <c r="J16" s="5" t="str">
        <f t="shared" si="0"/>
        <v>Jane Smith</v>
      </c>
      <c r="K16" s="4">
        <f t="shared" si="4"/>
        <v>65509.232558139534</v>
      </c>
      <c r="L16" s="3">
        <f t="shared" si="1"/>
        <v>2.9210526315789473</v>
      </c>
      <c r="M16" s="5">
        <f t="shared" si="2"/>
        <v>66513</v>
      </c>
      <c r="N16" s="5">
        <f t="shared" si="3"/>
        <v>3</v>
      </c>
      <c r="O16" s="6" t="s">
        <v>285</v>
      </c>
      <c r="P16" s="7">
        <f>MIN(E2:E151)</f>
        <v>30280</v>
      </c>
      <c r="Q16" s="8" t="str">
        <f t="shared" si="5"/>
        <v>Jane</v>
      </c>
      <c r="R16" s="8" t="str">
        <f t="shared" si="6"/>
        <v>Smith</v>
      </c>
    </row>
    <row r="17" spans="1:18" x14ac:dyDescent="0.3">
      <c r="A17" t="s">
        <v>24</v>
      </c>
      <c r="C17" t="s">
        <v>169</v>
      </c>
      <c r="D17" t="s">
        <v>174</v>
      </c>
      <c r="E17">
        <v>92443</v>
      </c>
      <c r="F17" s="1">
        <v>42113</v>
      </c>
      <c r="G17">
        <v>3</v>
      </c>
      <c r="H17" t="s">
        <v>179</v>
      </c>
      <c r="I17" t="s">
        <v>195</v>
      </c>
      <c r="J17" s="5" t="str">
        <f t="shared" si="0"/>
        <v/>
      </c>
      <c r="K17" s="4">
        <f t="shared" si="4"/>
        <v>65553.1015625</v>
      </c>
      <c r="L17" s="3">
        <f t="shared" si="1"/>
        <v>2.9292035398230087</v>
      </c>
      <c r="M17" s="5">
        <f t="shared" si="2"/>
        <v>66637</v>
      </c>
      <c r="N17" s="5">
        <f t="shared" si="3"/>
        <v>3</v>
      </c>
      <c r="O17" s="6" t="s">
        <v>286</v>
      </c>
      <c r="P17" s="7">
        <f>MAX(E2:E151)</f>
        <v>99621</v>
      </c>
      <c r="Q17" s="8"/>
      <c r="R17" s="8"/>
    </row>
    <row r="18" spans="1:18" x14ac:dyDescent="0.3">
      <c r="A18" t="s">
        <v>25</v>
      </c>
      <c r="B18" t="s">
        <v>165</v>
      </c>
      <c r="D18" t="s">
        <v>172</v>
      </c>
      <c r="E18">
        <v>90271</v>
      </c>
      <c r="F18" s="1">
        <v>42120</v>
      </c>
      <c r="I18" t="s">
        <v>196</v>
      </c>
      <c r="J18" s="5" t="str">
        <f t="shared" si="0"/>
        <v>Bob Johnson</v>
      </c>
      <c r="K18" s="4">
        <f t="shared" si="4"/>
        <v>65341.370078740154</v>
      </c>
      <c r="L18" s="3">
        <f t="shared" si="1"/>
        <v>2.9285714285714284</v>
      </c>
      <c r="M18" s="5">
        <f t="shared" si="2"/>
        <v>66513</v>
      </c>
      <c r="N18" s="5">
        <f t="shared" si="3"/>
        <v>3</v>
      </c>
      <c r="O18" s="6" t="s">
        <v>288</v>
      </c>
      <c r="P18" s="7">
        <f>AVERAGEIF(H:H, "male", E:E)</f>
        <v>68850.34375</v>
      </c>
      <c r="Q18" s="8" t="str">
        <f t="shared" si="5"/>
        <v>Bob</v>
      </c>
      <c r="R18" s="8" t="str">
        <f t="shared" si="6"/>
        <v>Johnson</v>
      </c>
    </row>
    <row r="19" spans="1:18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1">
        <v>42127</v>
      </c>
      <c r="G19">
        <v>1</v>
      </c>
      <c r="H19" t="s">
        <v>179</v>
      </c>
      <c r="I19" t="s">
        <v>197</v>
      </c>
      <c r="J19" s="5" t="str">
        <f t="shared" si="0"/>
        <v>Jane Smith</v>
      </c>
      <c r="K19" s="4">
        <f t="shared" si="4"/>
        <v>65143.515873015873</v>
      </c>
      <c r="L19" s="3">
        <f t="shared" si="1"/>
        <v>2.9285714285714284</v>
      </c>
      <c r="M19" s="5">
        <f t="shared" si="2"/>
        <v>66508</v>
      </c>
      <c r="N19" s="5">
        <f t="shared" si="3"/>
        <v>3</v>
      </c>
      <c r="O19" s="6" t="s">
        <v>289</v>
      </c>
      <c r="P19" s="7">
        <f>AVERAGEIF(H:H, "female", E:E)</f>
        <v>63132.36363636364</v>
      </c>
      <c r="Q19" s="8" t="str">
        <f t="shared" si="5"/>
        <v>Jane</v>
      </c>
      <c r="R19" s="8" t="str">
        <f t="shared" si="6"/>
        <v>Smith</v>
      </c>
    </row>
    <row r="20" spans="1:18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1">
        <v>42134</v>
      </c>
      <c r="I20" t="s">
        <v>198</v>
      </c>
      <c r="J20" s="5" t="str">
        <f t="shared" si="0"/>
        <v>Alice Brown</v>
      </c>
      <c r="K20" s="4">
        <f t="shared" si="4"/>
        <v>65333.936000000002</v>
      </c>
      <c r="L20" s="3">
        <f t="shared" si="1"/>
        <v>2.9459459459459461</v>
      </c>
      <c r="M20" s="5">
        <f t="shared" si="2"/>
        <v>66513</v>
      </c>
      <c r="N20" s="5">
        <f t="shared" si="3"/>
        <v>3</v>
      </c>
      <c r="Q20" s="8" t="str">
        <f t="shared" si="5"/>
        <v>Alice</v>
      </c>
      <c r="R20" s="8" t="str">
        <f t="shared" si="6"/>
        <v>Brown</v>
      </c>
    </row>
    <row r="21" spans="1:18" x14ac:dyDescent="0.3">
      <c r="A21" t="s">
        <v>28</v>
      </c>
      <c r="B21" t="s">
        <v>159</v>
      </c>
      <c r="D21" t="s">
        <v>174</v>
      </c>
      <c r="E21">
        <v>67531</v>
      </c>
      <c r="F21" s="1">
        <v>42141</v>
      </c>
      <c r="G21">
        <v>5</v>
      </c>
      <c r="H21" t="s">
        <v>181</v>
      </c>
      <c r="I21" t="s">
        <v>199</v>
      </c>
      <c r="J21" s="5" t="str">
        <f t="shared" si="0"/>
        <v>Eve Adams</v>
      </c>
      <c r="K21" s="4">
        <f t="shared" si="4"/>
        <v>65267.258064516129</v>
      </c>
      <c r="L21" s="3">
        <f t="shared" si="1"/>
        <v>2.9459459459459461</v>
      </c>
      <c r="M21" s="5">
        <f t="shared" si="2"/>
        <v>66508</v>
      </c>
      <c r="N21" s="5">
        <f t="shared" si="3"/>
        <v>3</v>
      </c>
      <c r="Q21" s="8" t="str">
        <f t="shared" si="5"/>
        <v>Eve</v>
      </c>
      <c r="R21" s="8" t="str">
        <f t="shared" si="6"/>
        <v>Adams</v>
      </c>
    </row>
    <row r="22" spans="1:18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1">
        <v>42148</v>
      </c>
      <c r="G22">
        <v>2</v>
      </c>
      <c r="H22" t="s">
        <v>179</v>
      </c>
      <c r="I22" t="s">
        <v>200</v>
      </c>
      <c r="J22" s="5" t="str">
        <f t="shared" si="0"/>
        <v>Jane Smith</v>
      </c>
      <c r="K22" s="4">
        <f t="shared" si="4"/>
        <v>65248.853658536587</v>
      </c>
      <c r="L22" s="3">
        <f t="shared" si="1"/>
        <v>2.9272727272727272</v>
      </c>
      <c r="M22" s="5">
        <f t="shared" si="2"/>
        <v>66503</v>
      </c>
      <c r="N22" s="5">
        <f t="shared" si="3"/>
        <v>3</v>
      </c>
      <c r="Q22" s="8" t="str">
        <f t="shared" si="5"/>
        <v>Jane</v>
      </c>
      <c r="R22" s="8" t="str">
        <f t="shared" si="6"/>
        <v>Smith</v>
      </c>
    </row>
    <row r="23" spans="1:18" x14ac:dyDescent="0.3">
      <c r="A23" t="s">
        <v>30</v>
      </c>
      <c r="B23" t="s">
        <v>162</v>
      </c>
      <c r="C23" t="s">
        <v>167</v>
      </c>
      <c r="E23">
        <v>98922</v>
      </c>
      <c r="F23" s="1">
        <v>42155</v>
      </c>
      <c r="G23">
        <v>4</v>
      </c>
      <c r="I23" t="s">
        <v>201</v>
      </c>
      <c r="J23" s="5" t="str">
        <f t="shared" si="0"/>
        <v>Jane Smith</v>
      </c>
      <c r="K23" s="4">
        <f t="shared" si="4"/>
        <v>65248.853658536587</v>
      </c>
      <c r="L23" s="3">
        <f t="shared" si="1"/>
        <v>2.9357798165137616</v>
      </c>
      <c r="M23" s="5">
        <f t="shared" si="2"/>
        <v>66503</v>
      </c>
      <c r="N23" s="5">
        <f t="shared" si="3"/>
        <v>3</v>
      </c>
      <c r="Q23" s="8" t="str">
        <f t="shared" si="5"/>
        <v>Jane</v>
      </c>
      <c r="R23" s="8" t="str">
        <f t="shared" si="6"/>
        <v>Smith</v>
      </c>
    </row>
    <row r="24" spans="1:18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1">
        <v>42162</v>
      </c>
      <c r="G24">
        <v>5</v>
      </c>
      <c r="I24" t="s">
        <v>202</v>
      </c>
      <c r="J24" s="5" t="str">
        <f t="shared" si="0"/>
        <v>Eve Adams</v>
      </c>
      <c r="K24" s="4">
        <f t="shared" si="4"/>
        <v>64972.844262295082</v>
      </c>
      <c r="L24" s="3">
        <f t="shared" si="1"/>
        <v>2.925925925925926</v>
      </c>
      <c r="M24" s="5">
        <f t="shared" si="2"/>
        <v>66291</v>
      </c>
      <c r="N24" s="5">
        <f t="shared" si="3"/>
        <v>3</v>
      </c>
      <c r="Q24" s="8" t="str">
        <f t="shared" si="5"/>
        <v>Eve</v>
      </c>
      <c r="R24" s="8" t="str">
        <f t="shared" si="6"/>
        <v>Adams</v>
      </c>
    </row>
    <row r="25" spans="1:18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1">
        <v>42169</v>
      </c>
      <c r="G25">
        <v>3</v>
      </c>
      <c r="H25" t="s">
        <v>180</v>
      </c>
      <c r="I25" t="s">
        <v>203</v>
      </c>
      <c r="J25" s="5" t="str">
        <f t="shared" si="0"/>
        <v>Alice Brown</v>
      </c>
      <c r="K25" s="4">
        <f t="shared" si="4"/>
        <v>65193.008264462813</v>
      </c>
      <c r="L25" s="3">
        <f t="shared" si="1"/>
        <v>2.9065420560747666</v>
      </c>
      <c r="M25" s="5">
        <f t="shared" si="2"/>
        <v>66503</v>
      </c>
      <c r="N25" s="5">
        <f t="shared" si="3"/>
        <v>3</v>
      </c>
      <c r="Q25" s="8" t="str">
        <f t="shared" si="5"/>
        <v>Alice</v>
      </c>
      <c r="R25" s="8" t="str">
        <f t="shared" si="6"/>
        <v>Brown</v>
      </c>
    </row>
    <row r="26" spans="1:18" x14ac:dyDescent="0.3">
      <c r="A26" t="s">
        <v>33</v>
      </c>
      <c r="B26" t="s">
        <v>163</v>
      </c>
      <c r="C26" t="s">
        <v>166</v>
      </c>
      <c r="E26">
        <v>91005</v>
      </c>
      <c r="F26" s="1">
        <v>42176</v>
      </c>
      <c r="G26">
        <v>1</v>
      </c>
      <c r="H26" t="s">
        <v>179</v>
      </c>
      <c r="I26" t="s">
        <v>204</v>
      </c>
      <c r="J26" s="5" t="str">
        <f t="shared" si="0"/>
        <v>Sam Wilson</v>
      </c>
      <c r="K26" s="4">
        <f t="shared" si="4"/>
        <v>65431.991666666669</v>
      </c>
      <c r="L26" s="3">
        <f t="shared" si="1"/>
        <v>2.9056603773584904</v>
      </c>
      <c r="M26" s="5">
        <f t="shared" si="2"/>
        <v>66508</v>
      </c>
      <c r="N26" s="5">
        <f t="shared" si="3"/>
        <v>3</v>
      </c>
      <c r="Q26" s="8" t="str">
        <f t="shared" si="5"/>
        <v>Sam</v>
      </c>
      <c r="R26" s="8" t="str">
        <f t="shared" si="6"/>
        <v>Wilson</v>
      </c>
    </row>
    <row r="27" spans="1:18" x14ac:dyDescent="0.3">
      <c r="A27" t="s">
        <v>34</v>
      </c>
      <c r="B27" t="s">
        <v>164</v>
      </c>
      <c r="D27" t="s">
        <v>171</v>
      </c>
      <c r="E27">
        <v>52272</v>
      </c>
      <c r="F27" s="1">
        <v>42183</v>
      </c>
      <c r="G27">
        <v>3</v>
      </c>
      <c r="I27" t="s">
        <v>205</v>
      </c>
      <c r="J27" s="5" t="str">
        <f t="shared" si="0"/>
        <v>Chris Lee</v>
      </c>
      <c r="K27" s="4">
        <f t="shared" si="4"/>
        <v>65217.092436974788</v>
      </c>
      <c r="L27" s="3">
        <f t="shared" si="1"/>
        <v>2.9238095238095236</v>
      </c>
      <c r="M27" s="5">
        <f t="shared" si="2"/>
        <v>66503</v>
      </c>
      <c r="N27" s="5">
        <f t="shared" si="3"/>
        <v>3</v>
      </c>
      <c r="Q27" s="8" t="str">
        <f t="shared" si="5"/>
        <v>Chris</v>
      </c>
      <c r="R27" s="8" t="str">
        <f t="shared" si="6"/>
        <v>Lee</v>
      </c>
    </row>
    <row r="28" spans="1:18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1">
        <v>42190</v>
      </c>
      <c r="G28">
        <v>2</v>
      </c>
      <c r="H28" t="s">
        <v>181</v>
      </c>
      <c r="I28" t="s">
        <v>206</v>
      </c>
      <c r="J28" s="5" t="str">
        <f t="shared" si="0"/>
        <v>Eve Adams</v>
      </c>
      <c r="K28" s="4">
        <f t="shared" si="4"/>
        <v>65326.796610169491</v>
      </c>
      <c r="L28" s="3">
        <f t="shared" si="1"/>
        <v>2.9230769230769229</v>
      </c>
      <c r="M28" s="5">
        <f t="shared" si="2"/>
        <v>66508</v>
      </c>
      <c r="N28" s="5">
        <f t="shared" si="3"/>
        <v>3</v>
      </c>
      <c r="Q28" s="8" t="str">
        <f t="shared" si="5"/>
        <v>Eve</v>
      </c>
      <c r="R28" s="8" t="str">
        <f t="shared" si="6"/>
        <v>Adams</v>
      </c>
    </row>
    <row r="29" spans="1:18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1">
        <v>42197</v>
      </c>
      <c r="G29">
        <v>3</v>
      </c>
      <c r="H29" t="s">
        <v>179</v>
      </c>
      <c r="I29" t="s">
        <v>207</v>
      </c>
      <c r="J29" s="5" t="str">
        <f t="shared" si="0"/>
        <v>Alice Brown</v>
      </c>
      <c r="K29" s="4">
        <f t="shared" si="4"/>
        <v>65231.145299145297</v>
      </c>
      <c r="L29" s="3">
        <f t="shared" si="1"/>
        <v>2.9320388349514563</v>
      </c>
      <c r="M29" s="5">
        <f t="shared" si="2"/>
        <v>66503</v>
      </c>
      <c r="N29" s="5">
        <f t="shared" si="3"/>
        <v>3</v>
      </c>
      <c r="Q29" s="8" t="str">
        <f t="shared" si="5"/>
        <v>Alice</v>
      </c>
      <c r="R29" s="8" t="str">
        <f t="shared" si="6"/>
        <v>Brown</v>
      </c>
    </row>
    <row r="30" spans="1:18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1">
        <v>42204</v>
      </c>
      <c r="G30">
        <v>2</v>
      </c>
      <c r="H30" t="s">
        <v>181</v>
      </c>
      <c r="I30" t="s">
        <v>208</v>
      </c>
      <c r="J30" s="5" t="str">
        <f t="shared" si="0"/>
        <v>John Doe</v>
      </c>
      <c r="K30" s="4">
        <f t="shared" si="4"/>
        <v>65436.172413793101</v>
      </c>
      <c r="L30" s="3">
        <f t="shared" si="1"/>
        <v>2.9313725490196076</v>
      </c>
      <c r="M30" s="5">
        <f t="shared" si="2"/>
        <v>66508</v>
      </c>
      <c r="N30" s="5">
        <f t="shared" si="3"/>
        <v>3</v>
      </c>
      <c r="Q30" s="8" t="str">
        <f t="shared" si="5"/>
        <v>John</v>
      </c>
      <c r="R30" s="8" t="str">
        <f t="shared" si="6"/>
        <v>Doe</v>
      </c>
    </row>
    <row r="31" spans="1:18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1">
        <v>42211</v>
      </c>
      <c r="G31">
        <v>5</v>
      </c>
      <c r="I31" t="s">
        <v>209</v>
      </c>
      <c r="J31" s="5" t="str">
        <f t="shared" si="0"/>
        <v>Bob Johnson</v>
      </c>
      <c r="K31" s="4">
        <f t="shared" si="4"/>
        <v>65576.64347826087</v>
      </c>
      <c r="L31" s="3">
        <f t="shared" si="1"/>
        <v>2.9405940594059405</v>
      </c>
      <c r="M31" s="5">
        <f t="shared" si="2"/>
        <v>66513</v>
      </c>
      <c r="N31" s="5">
        <f t="shared" si="3"/>
        <v>3</v>
      </c>
      <c r="Q31" s="8" t="str">
        <f t="shared" si="5"/>
        <v>Bob</v>
      </c>
      <c r="R31" s="8" t="str">
        <f t="shared" si="6"/>
        <v>Johnson</v>
      </c>
    </row>
    <row r="32" spans="1:18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  <c r="J32" s="5" t="str">
        <f t="shared" si="0"/>
        <v/>
      </c>
      <c r="K32" s="4">
        <f t="shared" si="4"/>
        <v>65336.447368421053</v>
      </c>
      <c r="L32" s="3">
        <f t="shared" si="1"/>
        <v>2.92</v>
      </c>
      <c r="M32" s="5">
        <f t="shared" si="2"/>
        <v>66508</v>
      </c>
      <c r="N32" s="5">
        <f t="shared" si="3"/>
        <v>3</v>
      </c>
      <c r="Q32" s="8"/>
      <c r="R32" s="8"/>
    </row>
    <row r="33" spans="1:18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1">
        <v>42225</v>
      </c>
      <c r="G33">
        <v>3</v>
      </c>
      <c r="H33" t="s">
        <v>180</v>
      </c>
      <c r="I33" t="s">
        <v>211</v>
      </c>
      <c r="J33" s="5" t="str">
        <f t="shared" si="0"/>
        <v>Eve Adams</v>
      </c>
      <c r="K33" s="4">
        <f t="shared" si="4"/>
        <v>65098.194690265489</v>
      </c>
      <c r="L33" s="3">
        <f t="shared" si="1"/>
        <v>2.9393939393939394</v>
      </c>
      <c r="M33" s="5">
        <f t="shared" si="2"/>
        <v>66503</v>
      </c>
      <c r="N33" s="5">
        <f t="shared" si="3"/>
        <v>3</v>
      </c>
      <c r="Q33" s="8" t="str">
        <f t="shared" si="5"/>
        <v>Eve</v>
      </c>
      <c r="R33" s="8" t="str">
        <f t="shared" si="6"/>
        <v>Adams</v>
      </c>
    </row>
    <row r="34" spans="1:18" x14ac:dyDescent="0.3">
      <c r="A34" t="s">
        <v>41</v>
      </c>
      <c r="B34" t="s">
        <v>163</v>
      </c>
      <c r="C34" t="s">
        <v>167</v>
      </c>
      <c r="E34">
        <v>95586</v>
      </c>
      <c r="F34" s="1">
        <v>42232</v>
      </c>
      <c r="G34">
        <v>3</v>
      </c>
      <c r="H34" t="s">
        <v>179</v>
      </c>
      <c r="I34" t="s">
        <v>212</v>
      </c>
      <c r="J34" s="5" t="str">
        <f t="shared" ref="J34:J65" si="7">TRIM(B34)</f>
        <v>Sam Wilson</v>
      </c>
      <c r="K34" s="4">
        <f t="shared" si="4"/>
        <v>64855.330357142855</v>
      </c>
      <c r="L34" s="3">
        <f t="shared" si="1"/>
        <v>2.9387755102040818</v>
      </c>
      <c r="M34" s="5">
        <f t="shared" ref="M34:M65" si="8">MEDIAN(E34:E183)</f>
        <v>66291</v>
      </c>
      <c r="N34" s="5">
        <f t="shared" ref="N34:N65" si="9">MEDIAN(G34:G183)</f>
        <v>3</v>
      </c>
      <c r="Q34" s="8" t="str">
        <f t="shared" si="5"/>
        <v>Sam</v>
      </c>
      <c r="R34" s="8" t="str">
        <f t="shared" si="6"/>
        <v>Wilson</v>
      </c>
    </row>
    <row r="35" spans="1:18" x14ac:dyDescent="0.3">
      <c r="A35" t="s">
        <v>42</v>
      </c>
      <c r="B35" t="s">
        <v>164</v>
      </c>
      <c r="D35" t="s">
        <v>173</v>
      </c>
      <c r="E35">
        <v>95367</v>
      </c>
      <c r="F35" s="1">
        <v>42239</v>
      </c>
      <c r="H35" t="s">
        <v>180</v>
      </c>
      <c r="I35" t="s">
        <v>213</v>
      </c>
      <c r="J35" s="5" t="str">
        <f t="shared" si="7"/>
        <v>Chris Lee</v>
      </c>
      <c r="K35" s="4">
        <f t="shared" si="4"/>
        <v>64578.477477477478</v>
      </c>
      <c r="L35" s="3">
        <f t="shared" si="1"/>
        <v>2.9381443298969074</v>
      </c>
      <c r="M35" s="5">
        <f t="shared" si="8"/>
        <v>66079</v>
      </c>
      <c r="N35" s="5">
        <f t="shared" si="9"/>
        <v>3</v>
      </c>
      <c r="Q35" s="8" t="str">
        <f t="shared" si="5"/>
        <v>Chris</v>
      </c>
      <c r="R35" s="8" t="str">
        <f t="shared" si="6"/>
        <v>Lee</v>
      </c>
    </row>
    <row r="36" spans="1:18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1">
        <v>42246</v>
      </c>
      <c r="G36">
        <v>3</v>
      </c>
      <c r="I36" t="s">
        <v>214</v>
      </c>
      <c r="J36" s="5" t="str">
        <f t="shared" si="7"/>
        <v>John Doe</v>
      </c>
      <c r="K36" s="4">
        <f t="shared" si="4"/>
        <v>64298.581818181818</v>
      </c>
      <c r="L36" s="3">
        <f t="shared" si="1"/>
        <v>2.9381443298969074</v>
      </c>
      <c r="M36" s="5">
        <f t="shared" si="8"/>
        <v>65674.5</v>
      </c>
      <c r="N36" s="5">
        <f t="shared" si="9"/>
        <v>3</v>
      </c>
      <c r="Q36" s="8" t="str">
        <f t="shared" si="5"/>
        <v>John</v>
      </c>
      <c r="R36" s="8" t="str">
        <f t="shared" si="6"/>
        <v>Doe</v>
      </c>
    </row>
    <row r="37" spans="1:18" x14ac:dyDescent="0.3">
      <c r="A37" t="s">
        <v>44</v>
      </c>
      <c r="B37" t="s">
        <v>160</v>
      </c>
      <c r="D37" t="s">
        <v>175</v>
      </c>
      <c r="E37">
        <v>54463</v>
      </c>
      <c r="F37" s="1">
        <v>42253</v>
      </c>
      <c r="G37">
        <v>4</v>
      </c>
      <c r="H37" t="s">
        <v>180</v>
      </c>
      <c r="I37" t="s">
        <v>182</v>
      </c>
      <c r="J37" s="5" t="str">
        <f t="shared" si="7"/>
        <v>Alice Brown</v>
      </c>
      <c r="K37" s="4">
        <f t="shared" si="4"/>
        <v>64158.66972477064</v>
      </c>
      <c r="L37" s="3">
        <f t="shared" si="1"/>
        <v>2.9375</v>
      </c>
      <c r="M37" s="5">
        <f t="shared" si="8"/>
        <v>65270</v>
      </c>
      <c r="N37" s="5">
        <f t="shared" si="9"/>
        <v>3</v>
      </c>
      <c r="Q37" s="8" t="str">
        <f t="shared" si="5"/>
        <v>Alice</v>
      </c>
      <c r="R37" s="8" t="str">
        <f t="shared" si="6"/>
        <v>Brown</v>
      </c>
    </row>
    <row r="38" spans="1:18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1">
        <v>42260</v>
      </c>
      <c r="H38" t="s">
        <v>181</v>
      </c>
      <c r="I38" t="s">
        <v>215</v>
      </c>
      <c r="J38" s="5" t="str">
        <f t="shared" si="7"/>
        <v>Alice Brown</v>
      </c>
      <c r="K38" s="4">
        <f t="shared" si="4"/>
        <v>64248.444444444445</v>
      </c>
      <c r="L38" s="3">
        <f t="shared" si="1"/>
        <v>2.9263157894736844</v>
      </c>
      <c r="M38" s="5">
        <f t="shared" si="8"/>
        <v>65674.5</v>
      </c>
      <c r="N38" s="5">
        <f t="shared" si="9"/>
        <v>3</v>
      </c>
      <c r="Q38" s="8" t="str">
        <f t="shared" si="5"/>
        <v>Alice</v>
      </c>
      <c r="R38" s="8" t="str">
        <f t="shared" si="6"/>
        <v>Brown</v>
      </c>
    </row>
    <row r="39" spans="1:18" x14ac:dyDescent="0.3">
      <c r="A39" t="s">
        <v>46</v>
      </c>
      <c r="B39" t="s">
        <v>160</v>
      </c>
      <c r="C39" t="s">
        <v>167</v>
      </c>
      <c r="E39">
        <v>64796</v>
      </c>
      <c r="F39" s="1">
        <v>42267</v>
      </c>
      <c r="H39" t="s">
        <v>179</v>
      </c>
      <c r="I39" t="s">
        <v>216</v>
      </c>
      <c r="J39" s="5" t="str">
        <f t="shared" si="7"/>
        <v>Alice Brown</v>
      </c>
      <c r="K39" s="4">
        <f t="shared" si="4"/>
        <v>64009.82242990654</v>
      </c>
      <c r="L39" s="3">
        <f t="shared" si="1"/>
        <v>2.9263157894736844</v>
      </c>
      <c r="M39" s="5">
        <f t="shared" si="8"/>
        <v>65270</v>
      </c>
      <c r="N39" s="5">
        <f t="shared" si="9"/>
        <v>3</v>
      </c>
      <c r="Q39" s="8" t="str">
        <f t="shared" si="5"/>
        <v>Alice</v>
      </c>
      <c r="R39" s="8" t="str">
        <f t="shared" si="6"/>
        <v>Brown</v>
      </c>
    </row>
    <row r="40" spans="1:18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1">
        <v>42274</v>
      </c>
      <c r="G40">
        <v>5</v>
      </c>
      <c r="I40" t="s">
        <v>217</v>
      </c>
      <c r="J40" s="5" t="str">
        <f t="shared" si="7"/>
        <v>John Doe</v>
      </c>
      <c r="K40" s="4">
        <f t="shared" si="4"/>
        <v>64002.405660377357</v>
      </c>
      <c r="L40" s="3">
        <f t="shared" si="1"/>
        <v>2.9263157894736844</v>
      </c>
      <c r="M40" s="5">
        <f t="shared" si="8"/>
        <v>65674.5</v>
      </c>
      <c r="N40" s="5">
        <f t="shared" si="9"/>
        <v>3</v>
      </c>
      <c r="Q40" s="8" t="str">
        <f t="shared" si="5"/>
        <v>John</v>
      </c>
      <c r="R40" s="8" t="str">
        <f t="shared" si="6"/>
        <v>Doe</v>
      </c>
    </row>
    <row r="41" spans="1:18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1">
        <v>42281</v>
      </c>
      <c r="G41">
        <v>3</v>
      </c>
      <c r="I41" t="s">
        <v>218</v>
      </c>
      <c r="J41" s="5" t="str">
        <f t="shared" si="7"/>
        <v>Chris Lee</v>
      </c>
      <c r="K41" s="4">
        <f t="shared" si="4"/>
        <v>64115.828571428574</v>
      </c>
      <c r="L41" s="3">
        <f t="shared" si="1"/>
        <v>2.9042553191489362</v>
      </c>
      <c r="M41" s="5">
        <f t="shared" si="8"/>
        <v>66079</v>
      </c>
      <c r="N41" s="5">
        <f t="shared" si="9"/>
        <v>3</v>
      </c>
      <c r="Q41" s="8" t="str">
        <f t="shared" si="5"/>
        <v>Chris</v>
      </c>
      <c r="R41" s="8" t="str">
        <f t="shared" si="6"/>
        <v>Lee</v>
      </c>
    </row>
    <row r="42" spans="1:18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  <c r="J42" s="5" t="str">
        <f t="shared" si="7"/>
        <v>Bob Johnson</v>
      </c>
      <c r="K42" s="4">
        <f t="shared" si="4"/>
        <v>64268.634615384617</v>
      </c>
      <c r="L42" s="3">
        <f t="shared" si="1"/>
        <v>2.903225806451613</v>
      </c>
      <c r="M42" s="5">
        <f t="shared" si="8"/>
        <v>66291</v>
      </c>
      <c r="N42" s="5">
        <f t="shared" si="9"/>
        <v>3</v>
      </c>
      <c r="Q42" s="8" t="str">
        <f t="shared" si="5"/>
        <v>Bob</v>
      </c>
      <c r="R42" s="8" t="str">
        <f t="shared" si="6"/>
        <v>Johnson</v>
      </c>
    </row>
    <row r="43" spans="1:18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1">
        <v>42295</v>
      </c>
      <c r="I43" t="s">
        <v>220</v>
      </c>
      <c r="J43" s="5" t="str">
        <f t="shared" si="7"/>
        <v>Alice Brown</v>
      </c>
      <c r="K43" s="4">
        <f t="shared" si="4"/>
        <v>64268.634615384617</v>
      </c>
      <c r="L43" s="3">
        <f t="shared" si="1"/>
        <v>2.8913043478260869</v>
      </c>
      <c r="M43" s="5">
        <f t="shared" si="8"/>
        <v>66291</v>
      </c>
      <c r="N43" s="5">
        <f t="shared" si="9"/>
        <v>3</v>
      </c>
      <c r="Q43" s="8" t="str">
        <f t="shared" si="5"/>
        <v>Alice</v>
      </c>
      <c r="R43" s="8" t="str">
        <f t="shared" si="6"/>
        <v>Brown</v>
      </c>
    </row>
    <row r="44" spans="1:18" x14ac:dyDescent="0.3">
      <c r="A44" t="s">
        <v>51</v>
      </c>
      <c r="B44" t="s">
        <v>165</v>
      </c>
      <c r="D44" t="s">
        <v>176</v>
      </c>
      <c r="E44">
        <v>64913</v>
      </c>
      <c r="F44" s="1">
        <v>42302</v>
      </c>
      <c r="G44">
        <v>1</v>
      </c>
      <c r="H44" t="s">
        <v>181</v>
      </c>
      <c r="I44" t="s">
        <v>221</v>
      </c>
      <c r="J44" s="5" t="str">
        <f t="shared" si="7"/>
        <v>Bob Johnson</v>
      </c>
      <c r="K44" s="4">
        <f t="shared" si="4"/>
        <v>64562.932038834952</v>
      </c>
      <c r="L44" s="3">
        <f t="shared" si="1"/>
        <v>2.8913043478260869</v>
      </c>
      <c r="M44" s="5">
        <f t="shared" si="8"/>
        <v>66503</v>
      </c>
      <c r="N44" s="5">
        <f t="shared" si="9"/>
        <v>3</v>
      </c>
      <c r="Q44" s="8" t="str">
        <f t="shared" si="5"/>
        <v>Bob</v>
      </c>
      <c r="R44" s="8" t="str">
        <f t="shared" si="6"/>
        <v>Johnson</v>
      </c>
    </row>
    <row r="45" spans="1:18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1">
        <v>42309</v>
      </c>
      <c r="H45" t="s">
        <v>181</v>
      </c>
      <c r="I45" t="s">
        <v>222</v>
      </c>
      <c r="J45" s="5" t="str">
        <f t="shared" si="7"/>
        <v>Alice Brown</v>
      </c>
      <c r="K45" s="4">
        <f t="shared" si="4"/>
        <v>64559.5</v>
      </c>
      <c r="L45" s="3">
        <f t="shared" si="1"/>
        <v>2.912087912087912</v>
      </c>
      <c r="M45" s="5">
        <f t="shared" si="8"/>
        <v>66508</v>
      </c>
      <c r="N45" s="5">
        <f t="shared" si="9"/>
        <v>3</v>
      </c>
      <c r="Q45" s="8" t="str">
        <f t="shared" si="5"/>
        <v>Alice</v>
      </c>
      <c r="R45" s="8" t="str">
        <f t="shared" si="6"/>
        <v>Brown</v>
      </c>
    </row>
    <row r="46" spans="1:18" x14ac:dyDescent="0.3">
      <c r="A46" t="s">
        <v>53</v>
      </c>
      <c r="B46" t="s">
        <v>164</v>
      </c>
      <c r="C46" t="s">
        <v>166</v>
      </c>
      <c r="E46">
        <v>81610</v>
      </c>
      <c r="F46" s="1">
        <v>42316</v>
      </c>
      <c r="G46">
        <v>1</v>
      </c>
      <c r="I46" t="s">
        <v>223</v>
      </c>
      <c r="J46" s="5" t="str">
        <f t="shared" si="7"/>
        <v>Chris Lee</v>
      </c>
      <c r="K46" s="4">
        <f t="shared" si="4"/>
        <v>64848.940594059408</v>
      </c>
      <c r="L46" s="3">
        <f t="shared" si="1"/>
        <v>2.912087912087912</v>
      </c>
      <c r="M46" s="5">
        <f t="shared" si="8"/>
        <v>66513</v>
      </c>
      <c r="N46" s="5">
        <f t="shared" si="9"/>
        <v>3</v>
      </c>
      <c r="Q46" s="8" t="str">
        <f t="shared" si="5"/>
        <v>Chris</v>
      </c>
      <c r="R46" s="8" t="str">
        <f t="shared" si="6"/>
        <v>Lee</v>
      </c>
    </row>
    <row r="47" spans="1:18" x14ac:dyDescent="0.3">
      <c r="A47" t="s">
        <v>54</v>
      </c>
      <c r="C47" t="s">
        <v>167</v>
      </c>
      <c r="E47">
        <v>58962</v>
      </c>
      <c r="F47" s="1">
        <v>42323</v>
      </c>
      <c r="G47">
        <v>3</v>
      </c>
      <c r="H47" t="s">
        <v>179</v>
      </c>
      <c r="I47" t="s">
        <v>183</v>
      </c>
      <c r="J47" s="5" t="str">
        <f t="shared" si="7"/>
        <v/>
      </c>
      <c r="K47" s="4">
        <f t="shared" si="4"/>
        <v>64681.33</v>
      </c>
      <c r="L47" s="3">
        <f t="shared" si="1"/>
        <v>2.9333333333333331</v>
      </c>
      <c r="M47" s="5">
        <f t="shared" si="8"/>
        <v>66508</v>
      </c>
      <c r="N47" s="5">
        <f t="shared" si="9"/>
        <v>3</v>
      </c>
      <c r="Q47" s="8"/>
      <c r="R47" s="8"/>
    </row>
    <row r="48" spans="1:18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1">
        <v>42330</v>
      </c>
      <c r="G48">
        <v>3</v>
      </c>
      <c r="H48" t="s">
        <v>179</v>
      </c>
      <c r="I48" t="s">
        <v>224</v>
      </c>
      <c r="J48" s="5" t="str">
        <f t="shared" si="7"/>
        <v>Chris Lee</v>
      </c>
      <c r="K48" s="4">
        <f t="shared" si="4"/>
        <v>64739.101010101011</v>
      </c>
      <c r="L48" s="3">
        <f t="shared" si="1"/>
        <v>2.9325842696629212</v>
      </c>
      <c r="M48" s="5">
        <f t="shared" si="8"/>
        <v>66513</v>
      </c>
      <c r="N48" s="5">
        <f t="shared" si="9"/>
        <v>3</v>
      </c>
      <c r="Q48" s="8" t="str">
        <f t="shared" si="5"/>
        <v>Chris</v>
      </c>
      <c r="R48" s="8" t="str">
        <f t="shared" si="6"/>
        <v>Lee</v>
      </c>
    </row>
    <row r="49" spans="1:18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1">
        <v>42337</v>
      </c>
      <c r="G49">
        <v>4</v>
      </c>
      <c r="I49" t="s">
        <v>225</v>
      </c>
      <c r="J49" s="5" t="str">
        <f t="shared" si="7"/>
        <v>Chris Lee</v>
      </c>
      <c r="K49" s="4">
        <f t="shared" si="4"/>
        <v>64453.775510204083</v>
      </c>
      <c r="L49" s="3">
        <f t="shared" si="1"/>
        <v>2.9318181818181817</v>
      </c>
      <c r="M49" s="5">
        <f t="shared" si="8"/>
        <v>66508</v>
      </c>
      <c r="N49" s="5">
        <f t="shared" si="9"/>
        <v>3</v>
      </c>
      <c r="Q49" s="8" t="str">
        <f t="shared" si="5"/>
        <v>Chris</v>
      </c>
      <c r="R49" s="8" t="str">
        <f t="shared" si="6"/>
        <v>Lee</v>
      </c>
    </row>
    <row r="50" spans="1:18" x14ac:dyDescent="0.3">
      <c r="A50" t="s">
        <v>57</v>
      </c>
      <c r="B50" t="s">
        <v>161</v>
      </c>
      <c r="C50" t="s">
        <v>166</v>
      </c>
      <c r="E50">
        <v>66513</v>
      </c>
      <c r="F50" s="1">
        <v>42344</v>
      </c>
      <c r="G50">
        <v>2</v>
      </c>
      <c r="H50" t="s">
        <v>179</v>
      </c>
      <c r="I50" t="s">
        <v>187</v>
      </c>
      <c r="J50" s="5" t="str">
        <f t="shared" si="7"/>
        <v>John Doe</v>
      </c>
      <c r="K50" s="4">
        <f t="shared" si="4"/>
        <v>64517.783505154643</v>
      </c>
      <c r="L50" s="3">
        <f t="shared" si="1"/>
        <v>2.9195402298850577</v>
      </c>
      <c r="M50" s="5">
        <f t="shared" si="8"/>
        <v>66513</v>
      </c>
      <c r="N50" s="5">
        <f t="shared" si="9"/>
        <v>3</v>
      </c>
      <c r="Q50" s="8" t="str">
        <f t="shared" si="5"/>
        <v>John</v>
      </c>
      <c r="R50" s="8" t="str">
        <f t="shared" si="6"/>
        <v>Doe</v>
      </c>
    </row>
    <row r="51" spans="1:18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1">
        <v>42351</v>
      </c>
      <c r="G51">
        <v>5</v>
      </c>
      <c r="H51" t="s">
        <v>181</v>
      </c>
      <c r="I51" t="s">
        <v>219</v>
      </c>
      <c r="J51" s="5" t="str">
        <f t="shared" si="7"/>
        <v>Eve Adams</v>
      </c>
      <c r="K51" s="4">
        <f t="shared" si="4"/>
        <v>64497</v>
      </c>
      <c r="L51" s="3">
        <f t="shared" si="1"/>
        <v>2.9302325581395348</v>
      </c>
      <c r="M51" s="5">
        <f t="shared" si="8"/>
        <v>66632</v>
      </c>
      <c r="N51" s="5">
        <f t="shared" si="9"/>
        <v>3</v>
      </c>
      <c r="Q51" s="8" t="str">
        <f t="shared" si="5"/>
        <v>Eve</v>
      </c>
      <c r="R51" s="8" t="str">
        <f t="shared" si="6"/>
        <v>Adams</v>
      </c>
    </row>
    <row r="52" spans="1:18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  <c r="J52" s="5" t="str">
        <f t="shared" si="7"/>
        <v>Chris Lee</v>
      </c>
      <c r="K52" s="4">
        <f t="shared" si="4"/>
        <v>64347.284210526319</v>
      </c>
      <c r="L52" s="3">
        <f t="shared" si="1"/>
        <v>2.9058823529411764</v>
      </c>
      <c r="M52" s="5">
        <f t="shared" si="8"/>
        <v>66503</v>
      </c>
      <c r="N52" s="5">
        <f t="shared" si="9"/>
        <v>3</v>
      </c>
      <c r="Q52" s="8" t="str">
        <f t="shared" si="5"/>
        <v>Chris</v>
      </c>
      <c r="R52" s="8" t="str">
        <f t="shared" si="6"/>
        <v>Lee</v>
      </c>
    </row>
    <row r="53" spans="1:18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1">
        <v>42365</v>
      </c>
      <c r="G53">
        <v>5</v>
      </c>
      <c r="I53" t="s">
        <v>227</v>
      </c>
      <c r="J53" s="5" t="str">
        <f t="shared" si="7"/>
        <v>Sam Wilson</v>
      </c>
      <c r="K53" s="4">
        <f t="shared" si="4"/>
        <v>64705.382978723406</v>
      </c>
      <c r="L53" s="3">
        <f t="shared" si="1"/>
        <v>2.9166666666666665</v>
      </c>
      <c r="M53" s="5">
        <f t="shared" si="8"/>
        <v>66632</v>
      </c>
      <c r="N53" s="5">
        <f t="shared" si="9"/>
        <v>3</v>
      </c>
      <c r="Q53" s="8" t="str">
        <f t="shared" si="5"/>
        <v>Sam</v>
      </c>
      <c r="R53" s="8" t="str">
        <f t="shared" si="6"/>
        <v>Wilson</v>
      </c>
    </row>
    <row r="54" spans="1:18" x14ac:dyDescent="0.3">
      <c r="A54" t="s">
        <v>61</v>
      </c>
      <c r="B54" t="s">
        <v>159</v>
      </c>
      <c r="C54" t="s">
        <v>170</v>
      </c>
      <c r="E54">
        <v>30280</v>
      </c>
      <c r="F54" s="1">
        <v>42372</v>
      </c>
      <c r="G54">
        <v>1</v>
      </c>
      <c r="I54" t="s">
        <v>228</v>
      </c>
      <c r="J54" s="5" t="str">
        <f t="shared" si="7"/>
        <v>Eve Adams</v>
      </c>
      <c r="K54" s="4">
        <f t="shared" si="4"/>
        <v>64977.236559139783</v>
      </c>
      <c r="L54" s="3">
        <f t="shared" si="1"/>
        <v>2.8915662650602409</v>
      </c>
      <c r="M54" s="5">
        <f t="shared" si="8"/>
        <v>66761</v>
      </c>
      <c r="N54" s="5">
        <f t="shared" si="9"/>
        <v>3</v>
      </c>
      <c r="Q54" s="8" t="str">
        <f t="shared" si="5"/>
        <v>Eve</v>
      </c>
      <c r="R54" s="8" t="str">
        <f t="shared" si="6"/>
        <v>Adams</v>
      </c>
    </row>
    <row r="55" spans="1:18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1">
        <v>42379</v>
      </c>
      <c r="G55">
        <v>3</v>
      </c>
      <c r="H55" t="s">
        <v>181</v>
      </c>
      <c r="I55" t="s">
        <v>200</v>
      </c>
      <c r="J55" s="5" t="str">
        <f t="shared" si="7"/>
        <v>Eve Adams</v>
      </c>
      <c r="K55" s="4">
        <f t="shared" si="4"/>
        <v>65354.380434782608</v>
      </c>
      <c r="L55" s="3">
        <f t="shared" si="1"/>
        <v>2.9146341463414633</v>
      </c>
      <c r="M55" s="5">
        <f t="shared" si="8"/>
        <v>66821.5</v>
      </c>
      <c r="N55" s="5">
        <f t="shared" si="9"/>
        <v>3</v>
      </c>
      <c r="Q55" s="8" t="str">
        <f t="shared" si="5"/>
        <v>Eve</v>
      </c>
      <c r="R55" s="8" t="str">
        <f t="shared" si="6"/>
        <v>Adams</v>
      </c>
    </row>
    <row r="56" spans="1:18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1">
        <v>42386</v>
      </c>
      <c r="G56">
        <v>5</v>
      </c>
      <c r="H56" t="s">
        <v>179</v>
      </c>
      <c r="I56" t="s">
        <v>229</v>
      </c>
      <c r="J56" s="5" t="str">
        <f t="shared" si="7"/>
        <v>Bob Johnson</v>
      </c>
      <c r="K56" s="4">
        <f t="shared" si="4"/>
        <v>65706.054945054944</v>
      </c>
      <c r="L56" s="3">
        <f t="shared" si="1"/>
        <v>2.9135802469135803</v>
      </c>
      <c r="M56" s="5">
        <f t="shared" si="8"/>
        <v>66882</v>
      </c>
      <c r="N56" s="5">
        <f t="shared" si="9"/>
        <v>3</v>
      </c>
      <c r="Q56" s="8" t="str">
        <f t="shared" si="5"/>
        <v>Bob</v>
      </c>
      <c r="R56" s="8" t="str">
        <f t="shared" si="6"/>
        <v>Johnson</v>
      </c>
    </row>
    <row r="57" spans="1:18" x14ac:dyDescent="0.3">
      <c r="A57" t="s">
        <v>64</v>
      </c>
      <c r="B57" t="s">
        <v>164</v>
      </c>
      <c r="D57" t="s">
        <v>173</v>
      </c>
      <c r="E57">
        <v>74815</v>
      </c>
      <c r="F57" s="1">
        <v>42393</v>
      </c>
      <c r="G57">
        <v>5</v>
      </c>
      <c r="H57" t="s">
        <v>181</v>
      </c>
      <c r="I57" t="s">
        <v>230</v>
      </c>
      <c r="J57" s="5" t="str">
        <f t="shared" si="7"/>
        <v>Chris Lee</v>
      </c>
      <c r="K57" s="4">
        <f t="shared" si="4"/>
        <v>65595.755555555559</v>
      </c>
      <c r="L57" s="3">
        <f t="shared" si="1"/>
        <v>2.8875000000000002</v>
      </c>
      <c r="M57" s="5">
        <f t="shared" si="8"/>
        <v>66821.5</v>
      </c>
      <c r="N57" s="5">
        <f t="shared" si="9"/>
        <v>3</v>
      </c>
      <c r="Q57" s="8" t="str">
        <f t="shared" si="5"/>
        <v>Chris</v>
      </c>
      <c r="R57" s="8" t="str">
        <f t="shared" si="6"/>
        <v>Lee</v>
      </c>
    </row>
    <row r="58" spans="1:18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1">
        <v>42400</v>
      </c>
      <c r="G58">
        <v>1</v>
      </c>
      <c r="H58" t="s">
        <v>180</v>
      </c>
      <c r="I58" t="s">
        <v>231</v>
      </c>
      <c r="J58" s="5" t="str">
        <f t="shared" si="7"/>
        <v>John Doe</v>
      </c>
      <c r="K58" s="4">
        <f t="shared" si="4"/>
        <v>65492.168539325845</v>
      </c>
      <c r="L58" s="3">
        <f t="shared" si="1"/>
        <v>2.8607594936708862</v>
      </c>
      <c r="M58" s="5">
        <f t="shared" si="8"/>
        <v>66761</v>
      </c>
      <c r="N58" s="5">
        <f t="shared" si="9"/>
        <v>3</v>
      </c>
      <c r="Q58" s="8" t="str">
        <f t="shared" si="5"/>
        <v>John</v>
      </c>
      <c r="R58" s="8" t="str">
        <f t="shared" si="6"/>
        <v>Doe</v>
      </c>
    </row>
    <row r="59" spans="1:18" x14ac:dyDescent="0.3">
      <c r="A59" t="s">
        <v>66</v>
      </c>
      <c r="B59" t="s">
        <v>159</v>
      </c>
      <c r="D59" t="s">
        <v>174</v>
      </c>
      <c r="E59">
        <v>96949</v>
      </c>
      <c r="F59" s="1">
        <v>42407</v>
      </c>
      <c r="G59">
        <v>3</v>
      </c>
      <c r="I59" t="s">
        <v>207</v>
      </c>
      <c r="J59" s="5" t="str">
        <f t="shared" si="7"/>
        <v>Eve Adams</v>
      </c>
      <c r="K59" s="4">
        <f t="shared" si="4"/>
        <v>65554.454545454544</v>
      </c>
      <c r="L59" s="3">
        <f t="shared" si="1"/>
        <v>2.8846153846153846</v>
      </c>
      <c r="M59" s="5">
        <f t="shared" si="8"/>
        <v>66821.5</v>
      </c>
      <c r="N59" s="5">
        <f t="shared" si="9"/>
        <v>3</v>
      </c>
      <c r="Q59" s="8" t="str">
        <f t="shared" si="5"/>
        <v>Eve</v>
      </c>
      <c r="R59" s="8" t="str">
        <f t="shared" si="6"/>
        <v>Adams</v>
      </c>
    </row>
    <row r="60" spans="1:18" x14ac:dyDescent="0.3">
      <c r="A60" t="s">
        <v>67</v>
      </c>
      <c r="B60" t="s">
        <v>163</v>
      </c>
      <c r="C60" t="s">
        <v>170</v>
      </c>
      <c r="E60">
        <v>84924</v>
      </c>
      <c r="F60" s="1">
        <v>42414</v>
      </c>
      <c r="G60">
        <v>5</v>
      </c>
      <c r="H60" t="s">
        <v>180</v>
      </c>
      <c r="I60" t="s">
        <v>232</v>
      </c>
      <c r="J60" s="5" t="str">
        <f t="shared" si="7"/>
        <v>Sam Wilson</v>
      </c>
      <c r="K60" s="4">
        <f t="shared" si="4"/>
        <v>65193.597701149425</v>
      </c>
      <c r="L60" s="3">
        <f t="shared" si="1"/>
        <v>2.883116883116883</v>
      </c>
      <c r="M60" s="5">
        <f t="shared" si="8"/>
        <v>66761</v>
      </c>
      <c r="N60" s="5">
        <f t="shared" si="9"/>
        <v>3</v>
      </c>
      <c r="Q60" s="8" t="str">
        <f t="shared" si="5"/>
        <v>Sam</v>
      </c>
      <c r="R60" s="8" t="str">
        <f t="shared" si="6"/>
        <v>Wilson</v>
      </c>
    </row>
    <row r="61" spans="1:18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1">
        <v>42421</v>
      </c>
      <c r="G61">
        <v>1</v>
      </c>
      <c r="I61" t="s">
        <v>223</v>
      </c>
      <c r="J61" s="5" t="str">
        <f t="shared" si="7"/>
        <v>Sam Wilson</v>
      </c>
      <c r="K61" s="4">
        <f t="shared" si="4"/>
        <v>64964.174418604649</v>
      </c>
      <c r="L61" s="3">
        <f t="shared" si="1"/>
        <v>2.8552631578947367</v>
      </c>
      <c r="M61" s="5">
        <f t="shared" si="8"/>
        <v>66632</v>
      </c>
      <c r="N61" s="5">
        <f t="shared" si="9"/>
        <v>3</v>
      </c>
      <c r="Q61" s="8" t="str">
        <f t="shared" si="5"/>
        <v>Sam</v>
      </c>
      <c r="R61" s="8" t="str">
        <f t="shared" si="6"/>
        <v>Wilson</v>
      </c>
    </row>
    <row r="62" spans="1:18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  <c r="J62" s="5" t="str">
        <f t="shared" si="7"/>
        <v/>
      </c>
      <c r="K62" s="4">
        <f t="shared" si="4"/>
        <v>64763.364705882355</v>
      </c>
      <c r="L62" s="3">
        <f t="shared" si="1"/>
        <v>2.88</v>
      </c>
      <c r="M62" s="5">
        <f t="shared" si="8"/>
        <v>66503</v>
      </c>
      <c r="N62" s="5">
        <f t="shared" si="9"/>
        <v>3</v>
      </c>
      <c r="Q62" s="8"/>
      <c r="R62" s="8"/>
    </row>
    <row r="63" spans="1:18" x14ac:dyDescent="0.3">
      <c r="A63" t="s">
        <v>70</v>
      </c>
      <c r="B63" t="s">
        <v>159</v>
      </c>
      <c r="D63" t="s">
        <v>176</v>
      </c>
      <c r="E63">
        <v>31499</v>
      </c>
      <c r="F63" s="1">
        <v>42435</v>
      </c>
      <c r="G63">
        <v>2</v>
      </c>
      <c r="I63" t="s">
        <v>215</v>
      </c>
      <c r="J63" s="5" t="str">
        <f t="shared" si="7"/>
        <v>Eve Adams</v>
      </c>
      <c r="K63" s="4">
        <f t="shared" si="4"/>
        <v>64763.364705882355</v>
      </c>
      <c r="L63" s="3">
        <f t="shared" si="1"/>
        <v>2.8513513513513513</v>
      </c>
      <c r="M63" s="5">
        <f t="shared" si="8"/>
        <v>66503</v>
      </c>
      <c r="N63" s="5">
        <f t="shared" si="9"/>
        <v>3</v>
      </c>
      <c r="Q63" s="8" t="str">
        <f t="shared" si="5"/>
        <v>Eve</v>
      </c>
      <c r="R63" s="8" t="str">
        <f t="shared" si="6"/>
        <v>Adams</v>
      </c>
    </row>
    <row r="64" spans="1:18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1">
        <v>42442</v>
      </c>
      <c r="G64">
        <v>5</v>
      </c>
      <c r="H64" t="s">
        <v>181</v>
      </c>
      <c r="I64" t="s">
        <v>234</v>
      </c>
      <c r="J64" s="5" t="str">
        <f t="shared" si="7"/>
        <v>Chris Lee</v>
      </c>
      <c r="K64" s="4">
        <f t="shared" si="4"/>
        <v>65159.369047619046</v>
      </c>
      <c r="L64" s="3">
        <f t="shared" si="1"/>
        <v>2.8630136986301369</v>
      </c>
      <c r="M64" s="5">
        <f t="shared" si="8"/>
        <v>66632</v>
      </c>
      <c r="N64" s="5">
        <f t="shared" si="9"/>
        <v>3</v>
      </c>
      <c r="Q64" s="8" t="str">
        <f t="shared" si="5"/>
        <v>Chris</v>
      </c>
      <c r="R64" s="8" t="str">
        <f t="shared" si="6"/>
        <v>Lee</v>
      </c>
    </row>
    <row r="65" spans="1:18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1">
        <v>42449</v>
      </c>
      <c r="G65">
        <v>2</v>
      </c>
      <c r="H65" t="s">
        <v>179</v>
      </c>
      <c r="I65" t="s">
        <v>235</v>
      </c>
      <c r="J65" s="5" t="str">
        <f t="shared" si="7"/>
        <v>Eve Adams</v>
      </c>
      <c r="K65" s="4">
        <f t="shared" si="4"/>
        <v>64763.927710843374</v>
      </c>
      <c r="L65" s="3">
        <f t="shared" si="1"/>
        <v>2.8333333333333335</v>
      </c>
      <c r="M65" s="5">
        <f t="shared" si="8"/>
        <v>66503</v>
      </c>
      <c r="N65" s="5">
        <f t="shared" si="9"/>
        <v>3</v>
      </c>
      <c r="Q65" s="8" t="str">
        <f t="shared" si="5"/>
        <v>Eve</v>
      </c>
      <c r="R65" s="8" t="str">
        <f t="shared" si="6"/>
        <v>Adams</v>
      </c>
    </row>
    <row r="66" spans="1:18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1">
        <v>42456</v>
      </c>
      <c r="G66">
        <v>1</v>
      </c>
      <c r="H66" t="s">
        <v>180</v>
      </c>
      <c r="I66" t="s">
        <v>236</v>
      </c>
      <c r="J66" s="5" t="str">
        <f t="shared" ref="J66:J97" si="10">TRIM(B66)</f>
        <v>John Doe</v>
      </c>
      <c r="K66" s="4">
        <f t="shared" ref="K66:K129" si="11">AVERAGE(E66:E215)</f>
        <v>65108.109756097561</v>
      </c>
      <c r="L66" s="3">
        <f t="shared" ref="L66:L129" si="12">AVERAGE(G66:G215)</f>
        <v>2.8450704225352115</v>
      </c>
      <c r="M66" s="5">
        <f t="shared" ref="M66:M97" si="13">MEDIAN(E66:E215)</f>
        <v>66632</v>
      </c>
      <c r="N66" s="5">
        <f t="shared" ref="N66:N97" si="14">MEDIAN(G66:G215)</f>
        <v>3</v>
      </c>
      <c r="Q66" s="8" t="str">
        <f t="shared" si="5"/>
        <v>John</v>
      </c>
      <c r="R66" s="8" t="str">
        <f t="shared" si="6"/>
        <v>Doe</v>
      </c>
    </row>
    <row r="67" spans="1:18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1">
        <v>42463</v>
      </c>
      <c r="G67">
        <v>4</v>
      </c>
      <c r="H67" t="s">
        <v>180</v>
      </c>
      <c r="I67" t="s">
        <v>237</v>
      </c>
      <c r="J67" s="5" t="str">
        <f t="shared" si="10"/>
        <v>Sam Wilson</v>
      </c>
      <c r="K67" s="4">
        <f t="shared" si="11"/>
        <v>64865.777777777781</v>
      </c>
      <c r="L67" s="3">
        <f t="shared" si="12"/>
        <v>2.8714285714285714</v>
      </c>
      <c r="M67" s="5">
        <f t="shared" si="13"/>
        <v>66503</v>
      </c>
      <c r="N67" s="5">
        <f t="shared" si="14"/>
        <v>3</v>
      </c>
      <c r="Q67" s="8" t="str">
        <f t="shared" ref="Q67:Q130" si="15">LEFT(B67, FIND(" ", B67)-1)</f>
        <v>Sam</v>
      </c>
      <c r="R67" s="8" t="str">
        <f t="shared" ref="R67:R130" si="16">RIGHT(B67, LEN(B67)-FIND(" ", B67))</f>
        <v>Wilson</v>
      </c>
    </row>
    <row r="68" spans="1:18" x14ac:dyDescent="0.3">
      <c r="A68" t="s">
        <v>75</v>
      </c>
      <c r="B68" t="s">
        <v>163</v>
      </c>
      <c r="D68" t="s">
        <v>176</v>
      </c>
      <c r="E68">
        <v>96365</v>
      </c>
      <c r="F68" s="1">
        <v>42470</v>
      </c>
      <c r="G68">
        <v>3</v>
      </c>
      <c r="H68" t="s">
        <v>179</v>
      </c>
      <c r="I68" t="s">
        <v>238</v>
      </c>
      <c r="J68" s="5" t="str">
        <f t="shared" si="10"/>
        <v>Sam Wilson</v>
      </c>
      <c r="K68" s="4">
        <f t="shared" si="11"/>
        <v>65258.25</v>
      </c>
      <c r="L68" s="3">
        <f t="shared" si="12"/>
        <v>2.8550724637681157</v>
      </c>
      <c r="M68" s="5">
        <f t="shared" si="13"/>
        <v>66632</v>
      </c>
      <c r="N68" s="5">
        <f t="shared" si="14"/>
        <v>3</v>
      </c>
      <c r="Q68" s="8" t="str">
        <f t="shared" si="15"/>
        <v>Sam</v>
      </c>
      <c r="R68" s="8" t="str">
        <f t="shared" si="16"/>
        <v>Wilson</v>
      </c>
    </row>
    <row r="69" spans="1:18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1">
        <v>42477</v>
      </c>
      <c r="G69">
        <v>3</v>
      </c>
      <c r="H69" t="s">
        <v>181</v>
      </c>
      <c r="I69" t="s">
        <v>239</v>
      </c>
      <c r="J69" s="5" t="str">
        <f t="shared" si="10"/>
        <v>Alice Brown</v>
      </c>
      <c r="K69" s="4">
        <f t="shared" si="11"/>
        <v>64864.493670886077</v>
      </c>
      <c r="L69" s="3">
        <f t="shared" si="12"/>
        <v>2.8529411764705883</v>
      </c>
      <c r="M69" s="5">
        <f t="shared" si="13"/>
        <v>66503</v>
      </c>
      <c r="N69" s="5">
        <f t="shared" si="14"/>
        <v>3</v>
      </c>
      <c r="Q69" s="8" t="str">
        <f t="shared" si="15"/>
        <v>Alice</v>
      </c>
      <c r="R69" s="8" t="str">
        <f t="shared" si="16"/>
        <v>Brown</v>
      </c>
    </row>
    <row r="70" spans="1:18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1">
        <v>42484</v>
      </c>
      <c r="G70">
        <v>2</v>
      </c>
      <c r="I70" t="s">
        <v>201</v>
      </c>
      <c r="J70" s="5" t="str">
        <f t="shared" si="10"/>
        <v>Sam Wilson</v>
      </c>
      <c r="K70" s="4">
        <f t="shared" si="11"/>
        <v>64901.961538461539</v>
      </c>
      <c r="L70" s="3">
        <f t="shared" si="12"/>
        <v>2.8507462686567164</v>
      </c>
      <c r="M70" s="5">
        <f t="shared" si="13"/>
        <v>66632</v>
      </c>
      <c r="N70" s="5">
        <f t="shared" si="14"/>
        <v>3</v>
      </c>
      <c r="Q70" s="8" t="str">
        <f t="shared" si="15"/>
        <v>Sam</v>
      </c>
      <c r="R70" s="8" t="str">
        <f t="shared" si="16"/>
        <v>Wilson</v>
      </c>
    </row>
    <row r="71" spans="1:18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1">
        <v>42491</v>
      </c>
      <c r="G71">
        <v>1</v>
      </c>
      <c r="I71" t="s">
        <v>240</v>
      </c>
      <c r="J71" s="5" t="str">
        <f t="shared" si="10"/>
        <v>Bob Johnson</v>
      </c>
      <c r="K71" s="4">
        <f t="shared" si="11"/>
        <v>65206.311688311689</v>
      </c>
      <c r="L71" s="3">
        <f t="shared" si="12"/>
        <v>2.8636363636363638</v>
      </c>
      <c r="M71" s="5">
        <f t="shared" si="13"/>
        <v>66761</v>
      </c>
      <c r="N71" s="5">
        <f t="shared" si="14"/>
        <v>3</v>
      </c>
      <c r="Q71" s="8" t="str">
        <f t="shared" si="15"/>
        <v>Bob</v>
      </c>
      <c r="R71" s="8" t="str">
        <f t="shared" si="16"/>
        <v>Johnson</v>
      </c>
    </row>
    <row r="72" spans="1:18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1">
        <v>42498</v>
      </c>
      <c r="G72">
        <v>5</v>
      </c>
      <c r="H72" t="s">
        <v>181</v>
      </c>
      <c r="I72" t="s">
        <v>182</v>
      </c>
      <c r="J72" s="5" t="str">
        <f t="shared" si="10"/>
        <v>Eve Adams</v>
      </c>
      <c r="K72" s="4">
        <f t="shared" si="11"/>
        <v>65049.868421052633</v>
      </c>
      <c r="L72" s="3">
        <f t="shared" si="12"/>
        <v>2.8923076923076922</v>
      </c>
      <c r="M72" s="5">
        <f t="shared" si="13"/>
        <v>66632</v>
      </c>
      <c r="N72" s="5">
        <f t="shared" si="14"/>
        <v>3</v>
      </c>
      <c r="Q72" s="8" t="str">
        <f t="shared" si="15"/>
        <v>Eve</v>
      </c>
      <c r="R72" s="8" t="str">
        <f t="shared" si="16"/>
        <v>Adams</v>
      </c>
    </row>
    <row r="73" spans="1:18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1">
        <v>42505</v>
      </c>
      <c r="G73">
        <v>3</v>
      </c>
      <c r="I73" t="s">
        <v>241</v>
      </c>
      <c r="J73" s="5" t="str">
        <f t="shared" si="10"/>
        <v>Eve Adams</v>
      </c>
      <c r="K73" s="4">
        <f t="shared" si="11"/>
        <v>64984.506666666668</v>
      </c>
      <c r="L73" s="3">
        <f t="shared" si="12"/>
        <v>2.859375</v>
      </c>
      <c r="M73" s="5">
        <f t="shared" si="13"/>
        <v>66503</v>
      </c>
      <c r="N73" s="5">
        <f t="shared" si="14"/>
        <v>3</v>
      </c>
      <c r="Q73" s="8" t="str">
        <f t="shared" si="15"/>
        <v>Eve</v>
      </c>
      <c r="R73" s="8" t="str">
        <f t="shared" si="16"/>
        <v>Adams</v>
      </c>
    </row>
    <row r="74" spans="1:18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1">
        <v>42512</v>
      </c>
      <c r="H74" t="s">
        <v>179</v>
      </c>
      <c r="I74" t="s">
        <v>190</v>
      </c>
      <c r="J74" s="5" t="str">
        <f t="shared" si="10"/>
        <v>Bob Johnson</v>
      </c>
      <c r="K74" s="4">
        <f t="shared" si="11"/>
        <v>64713.148648648646</v>
      </c>
      <c r="L74" s="3">
        <f t="shared" si="12"/>
        <v>2.8571428571428572</v>
      </c>
      <c r="M74" s="5">
        <f t="shared" si="13"/>
        <v>66291</v>
      </c>
      <c r="N74" s="5">
        <f t="shared" si="14"/>
        <v>3</v>
      </c>
      <c r="Q74" s="8" t="str">
        <f t="shared" si="15"/>
        <v>Bob</v>
      </c>
      <c r="R74" s="8" t="str">
        <f t="shared" si="16"/>
        <v>Johnson</v>
      </c>
    </row>
    <row r="75" spans="1:18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1">
        <v>42519</v>
      </c>
      <c r="G75">
        <v>4</v>
      </c>
      <c r="H75" t="s">
        <v>181</v>
      </c>
      <c r="I75" t="s">
        <v>234</v>
      </c>
      <c r="J75" s="5" t="str">
        <f t="shared" si="10"/>
        <v>John Doe</v>
      </c>
      <c r="K75" s="4">
        <f t="shared" si="11"/>
        <v>64825.493150684932</v>
      </c>
      <c r="L75" s="3">
        <f t="shared" si="12"/>
        <v>2.8571428571428572</v>
      </c>
      <c r="M75" s="5">
        <f t="shared" si="13"/>
        <v>66503</v>
      </c>
      <c r="N75" s="5">
        <f t="shared" si="14"/>
        <v>3</v>
      </c>
      <c r="Q75" s="8" t="str">
        <f t="shared" si="15"/>
        <v>John</v>
      </c>
      <c r="R75" s="8" t="str">
        <f t="shared" si="16"/>
        <v>Doe</v>
      </c>
    </row>
    <row r="76" spans="1:18" x14ac:dyDescent="0.3">
      <c r="A76" t="s">
        <v>83</v>
      </c>
      <c r="B76" t="s">
        <v>163</v>
      </c>
      <c r="D76" t="s">
        <v>172</v>
      </c>
      <c r="E76">
        <v>41243</v>
      </c>
      <c r="F76" s="1">
        <v>42526</v>
      </c>
      <c r="I76" t="s">
        <v>211</v>
      </c>
      <c r="J76" s="5" t="str">
        <f t="shared" si="10"/>
        <v>Sam Wilson</v>
      </c>
      <c r="K76" s="4">
        <f t="shared" si="11"/>
        <v>64460.555555555555</v>
      </c>
      <c r="L76" s="3">
        <f t="shared" si="12"/>
        <v>2.838709677419355</v>
      </c>
      <c r="M76" s="5">
        <f t="shared" si="13"/>
        <v>66291</v>
      </c>
      <c r="N76" s="5">
        <f t="shared" si="14"/>
        <v>3</v>
      </c>
      <c r="Q76" s="8" t="str">
        <f t="shared" si="15"/>
        <v>Sam</v>
      </c>
      <c r="R76" s="8" t="str">
        <f t="shared" si="16"/>
        <v>Wilson</v>
      </c>
    </row>
    <row r="77" spans="1:18" x14ac:dyDescent="0.3">
      <c r="A77" t="s">
        <v>84</v>
      </c>
      <c r="C77" t="s">
        <v>168</v>
      </c>
      <c r="D77" t="s">
        <v>171</v>
      </c>
      <c r="E77">
        <v>96142</v>
      </c>
      <c r="F77" s="1">
        <v>42533</v>
      </c>
      <c r="G77">
        <v>1</v>
      </c>
      <c r="H77" t="s">
        <v>179</v>
      </c>
      <c r="I77" t="s">
        <v>242</v>
      </c>
      <c r="J77" s="5" t="str">
        <f t="shared" si="10"/>
        <v/>
      </c>
      <c r="K77" s="4">
        <f t="shared" si="11"/>
        <v>64787.563380281688</v>
      </c>
      <c r="L77" s="3">
        <f t="shared" si="12"/>
        <v>2.838709677419355</v>
      </c>
      <c r="M77" s="5">
        <f t="shared" si="13"/>
        <v>66503</v>
      </c>
      <c r="N77" s="5">
        <f t="shared" si="14"/>
        <v>3</v>
      </c>
      <c r="Q77" s="8"/>
      <c r="R77" s="8"/>
    </row>
    <row r="78" spans="1:18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1">
        <v>42540</v>
      </c>
      <c r="G78">
        <v>1</v>
      </c>
      <c r="H78" t="s">
        <v>180</v>
      </c>
      <c r="I78" t="s">
        <v>223</v>
      </c>
      <c r="J78" s="5" t="str">
        <f t="shared" si="10"/>
        <v>Eve Adams</v>
      </c>
      <c r="K78" s="4">
        <f t="shared" si="11"/>
        <v>64339.642857142855</v>
      </c>
      <c r="L78" s="3">
        <f t="shared" si="12"/>
        <v>2.8688524590163933</v>
      </c>
      <c r="M78" s="5">
        <f t="shared" si="13"/>
        <v>66291</v>
      </c>
      <c r="N78" s="5">
        <f t="shared" si="14"/>
        <v>3</v>
      </c>
      <c r="Q78" s="8" t="str">
        <f t="shared" si="15"/>
        <v>Eve</v>
      </c>
      <c r="R78" s="8" t="str">
        <f t="shared" si="16"/>
        <v>Adams</v>
      </c>
    </row>
    <row r="79" spans="1:18" x14ac:dyDescent="0.3">
      <c r="A79" t="s">
        <v>86</v>
      </c>
      <c r="B79" t="s">
        <v>162</v>
      </c>
      <c r="D79" t="s">
        <v>175</v>
      </c>
      <c r="E79">
        <v>69166</v>
      </c>
      <c r="F79" s="1">
        <v>42547</v>
      </c>
      <c r="G79">
        <v>1</v>
      </c>
      <c r="H79" t="s">
        <v>181</v>
      </c>
      <c r="I79" t="s">
        <v>243</v>
      </c>
      <c r="J79" s="5" t="str">
        <f t="shared" si="10"/>
        <v>Jane Smith</v>
      </c>
      <c r="K79" s="4">
        <f t="shared" si="11"/>
        <v>63905.420289855072</v>
      </c>
      <c r="L79" s="3">
        <f t="shared" si="12"/>
        <v>2.9</v>
      </c>
      <c r="M79" s="5">
        <f t="shared" si="13"/>
        <v>66079</v>
      </c>
      <c r="N79" s="5">
        <f t="shared" si="14"/>
        <v>3</v>
      </c>
      <c r="Q79" s="8" t="str">
        <f t="shared" si="15"/>
        <v>Jane</v>
      </c>
      <c r="R79" s="8" t="str">
        <f t="shared" si="16"/>
        <v>Smith</v>
      </c>
    </row>
    <row r="80" spans="1:18" x14ac:dyDescent="0.3">
      <c r="A80" t="s">
        <v>87</v>
      </c>
      <c r="B80" t="s">
        <v>163</v>
      </c>
      <c r="D80" t="s">
        <v>175</v>
      </c>
      <c r="E80">
        <v>78245</v>
      </c>
      <c r="F80" s="1">
        <v>42554</v>
      </c>
      <c r="G80">
        <v>2</v>
      </c>
      <c r="I80" t="s">
        <v>244</v>
      </c>
      <c r="J80" s="5" t="str">
        <f t="shared" si="10"/>
        <v>Sam Wilson</v>
      </c>
      <c r="K80" s="4">
        <f t="shared" si="11"/>
        <v>63828.058823529413</v>
      </c>
      <c r="L80" s="3">
        <f t="shared" si="12"/>
        <v>2.9322033898305087</v>
      </c>
      <c r="M80" s="5">
        <f t="shared" si="13"/>
        <v>65674.5</v>
      </c>
      <c r="N80" s="5">
        <f t="shared" si="14"/>
        <v>3</v>
      </c>
      <c r="Q80" s="8" t="str">
        <f t="shared" si="15"/>
        <v>Sam</v>
      </c>
      <c r="R80" s="8" t="str">
        <f t="shared" si="16"/>
        <v>Wilson</v>
      </c>
    </row>
    <row r="81" spans="1:18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1">
        <v>42561</v>
      </c>
      <c r="G81">
        <v>2</v>
      </c>
      <c r="H81" t="s">
        <v>179</v>
      </c>
      <c r="I81" t="s">
        <v>245</v>
      </c>
      <c r="J81" s="5" t="str">
        <f t="shared" si="10"/>
        <v>Chris Lee</v>
      </c>
      <c r="K81" s="4">
        <f t="shared" si="11"/>
        <v>63612.880597014926</v>
      </c>
      <c r="L81" s="3">
        <f t="shared" si="12"/>
        <v>2.9482758620689653</v>
      </c>
      <c r="M81" s="5">
        <f t="shared" si="13"/>
        <v>65270</v>
      </c>
      <c r="N81" s="5">
        <f t="shared" si="14"/>
        <v>3</v>
      </c>
      <c r="Q81" s="8" t="str">
        <f t="shared" si="15"/>
        <v>Chris</v>
      </c>
      <c r="R81" s="8" t="str">
        <f t="shared" si="16"/>
        <v>Lee</v>
      </c>
    </row>
    <row r="82" spans="1:18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  <c r="J82" s="5" t="str">
        <f t="shared" si="10"/>
        <v>Eve Adams</v>
      </c>
      <c r="K82" s="4">
        <f t="shared" si="11"/>
        <v>63575.515151515152</v>
      </c>
      <c r="L82" s="3">
        <f t="shared" si="12"/>
        <v>2.9649122807017543</v>
      </c>
      <c r="M82" s="5">
        <f t="shared" si="13"/>
        <v>64352</v>
      </c>
      <c r="N82" s="5">
        <f t="shared" si="14"/>
        <v>3</v>
      </c>
      <c r="Q82" s="8" t="str">
        <f t="shared" si="15"/>
        <v>Eve</v>
      </c>
      <c r="R82" s="8" t="str">
        <f t="shared" si="16"/>
        <v>Adams</v>
      </c>
    </row>
    <row r="83" spans="1:18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1">
        <v>42575</v>
      </c>
      <c r="G83">
        <v>3</v>
      </c>
      <c r="H83" t="s">
        <v>181</v>
      </c>
      <c r="I83" t="s">
        <v>246</v>
      </c>
      <c r="J83" s="5" t="str">
        <f t="shared" si="10"/>
        <v>Jane Smith</v>
      </c>
      <c r="K83" s="4">
        <f t="shared" si="11"/>
        <v>63575.515151515152</v>
      </c>
      <c r="L83" s="3">
        <f t="shared" si="12"/>
        <v>2.9649122807017543</v>
      </c>
      <c r="M83" s="5">
        <f t="shared" si="13"/>
        <v>64352</v>
      </c>
      <c r="N83" s="5">
        <f t="shared" si="14"/>
        <v>3</v>
      </c>
      <c r="Q83" s="8" t="str">
        <f t="shared" si="15"/>
        <v>Jane</v>
      </c>
      <c r="R83" s="8" t="str">
        <f t="shared" si="16"/>
        <v>Smith</v>
      </c>
    </row>
    <row r="84" spans="1:18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1">
        <v>42582</v>
      </c>
      <c r="G84">
        <v>1</v>
      </c>
      <c r="I84" t="s">
        <v>247</v>
      </c>
      <c r="J84" s="5" t="str">
        <f t="shared" si="10"/>
        <v>Eve Adams</v>
      </c>
      <c r="K84" s="4">
        <f t="shared" si="11"/>
        <v>63082.507692307692</v>
      </c>
      <c r="L84" s="3">
        <f t="shared" si="12"/>
        <v>2.9642857142857144</v>
      </c>
      <c r="M84" s="5">
        <f t="shared" si="13"/>
        <v>63434</v>
      </c>
      <c r="N84" s="5">
        <f t="shared" si="14"/>
        <v>3</v>
      </c>
      <c r="Q84" s="8" t="str">
        <f t="shared" si="15"/>
        <v>Eve</v>
      </c>
      <c r="R84" s="8" t="str">
        <f t="shared" si="16"/>
        <v>Adams</v>
      </c>
    </row>
    <row r="85" spans="1:18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1">
        <v>42589</v>
      </c>
      <c r="H85" t="s">
        <v>179</v>
      </c>
      <c r="I85" t="s">
        <v>248</v>
      </c>
      <c r="J85" s="5" t="str">
        <f t="shared" si="10"/>
        <v>Sam Wilson</v>
      </c>
      <c r="K85" s="4">
        <f t="shared" si="11"/>
        <v>63407.828125</v>
      </c>
      <c r="L85" s="3">
        <f t="shared" si="12"/>
        <v>3</v>
      </c>
      <c r="M85" s="5">
        <f t="shared" si="13"/>
        <v>64352</v>
      </c>
      <c r="N85" s="5">
        <f t="shared" si="14"/>
        <v>3</v>
      </c>
      <c r="Q85" s="8" t="str">
        <f t="shared" si="15"/>
        <v>Sam</v>
      </c>
      <c r="R85" s="8" t="str">
        <f t="shared" si="16"/>
        <v>Wilson</v>
      </c>
    </row>
    <row r="86" spans="1:18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1">
        <v>42596</v>
      </c>
      <c r="G86">
        <v>4</v>
      </c>
      <c r="H86" t="s">
        <v>181</v>
      </c>
      <c r="I86" t="s">
        <v>220</v>
      </c>
      <c r="J86" s="5" t="str">
        <f t="shared" si="10"/>
        <v>John Doe</v>
      </c>
      <c r="K86" s="4">
        <f t="shared" si="11"/>
        <v>62833.015873015873</v>
      </c>
      <c r="L86" s="3">
        <f t="shared" si="12"/>
        <v>3</v>
      </c>
      <c r="M86" s="5">
        <f t="shared" si="13"/>
        <v>63434</v>
      </c>
      <c r="N86" s="5">
        <f t="shared" si="14"/>
        <v>3</v>
      </c>
      <c r="Q86" s="8" t="str">
        <f t="shared" si="15"/>
        <v>John</v>
      </c>
      <c r="R86" s="8" t="str">
        <f t="shared" si="16"/>
        <v>Doe</v>
      </c>
    </row>
    <row r="87" spans="1:18" x14ac:dyDescent="0.3">
      <c r="A87" t="s">
        <v>94</v>
      </c>
      <c r="B87" t="s">
        <v>164</v>
      </c>
      <c r="C87" t="s">
        <v>166</v>
      </c>
      <c r="E87">
        <v>35163</v>
      </c>
      <c r="F87" s="1">
        <v>42603</v>
      </c>
      <c r="G87">
        <v>5</v>
      </c>
      <c r="H87" t="s">
        <v>179</v>
      </c>
      <c r="I87" t="s">
        <v>249</v>
      </c>
      <c r="J87" s="5" t="str">
        <f t="shared" si="10"/>
        <v>Chris Lee</v>
      </c>
      <c r="K87" s="4">
        <f t="shared" si="11"/>
        <v>63125.774193548386</v>
      </c>
      <c r="L87" s="3">
        <f t="shared" si="12"/>
        <v>2.9814814814814814</v>
      </c>
      <c r="M87" s="5">
        <f t="shared" si="13"/>
        <v>64352</v>
      </c>
      <c r="N87" s="5">
        <f t="shared" si="14"/>
        <v>3</v>
      </c>
      <c r="Q87" s="8" t="str">
        <f t="shared" si="15"/>
        <v>Chris</v>
      </c>
      <c r="R87" s="8" t="str">
        <f t="shared" si="16"/>
        <v>Lee</v>
      </c>
    </row>
    <row r="88" spans="1:18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1">
        <v>42610</v>
      </c>
      <c r="G88">
        <v>4</v>
      </c>
      <c r="H88" t="s">
        <v>180</v>
      </c>
      <c r="I88" t="s">
        <v>250</v>
      </c>
      <c r="J88" s="5" t="str">
        <f t="shared" si="10"/>
        <v>Chris Lee</v>
      </c>
      <c r="K88" s="4">
        <f t="shared" si="11"/>
        <v>63584.180327868853</v>
      </c>
      <c r="L88" s="3">
        <f t="shared" si="12"/>
        <v>2.9433962264150941</v>
      </c>
      <c r="M88" s="5">
        <f t="shared" si="13"/>
        <v>65270</v>
      </c>
      <c r="N88" s="5">
        <f t="shared" si="14"/>
        <v>3</v>
      </c>
      <c r="Q88" s="8" t="str">
        <f t="shared" si="15"/>
        <v>Chris</v>
      </c>
      <c r="R88" s="8" t="str">
        <f t="shared" si="16"/>
        <v>Lee</v>
      </c>
    </row>
    <row r="89" spans="1:18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1">
        <v>42617</v>
      </c>
      <c r="G89">
        <v>4</v>
      </c>
      <c r="H89" t="s">
        <v>180</v>
      </c>
      <c r="I89" t="s">
        <v>203</v>
      </c>
      <c r="J89" s="5" t="str">
        <f t="shared" si="10"/>
        <v>Sam Wilson</v>
      </c>
      <c r="K89" s="4">
        <f t="shared" si="11"/>
        <v>64085.866666666669</v>
      </c>
      <c r="L89" s="3">
        <f t="shared" si="12"/>
        <v>2.9230769230769229</v>
      </c>
      <c r="M89" s="5">
        <f t="shared" si="13"/>
        <v>65886.5</v>
      </c>
      <c r="N89" s="5">
        <f t="shared" si="14"/>
        <v>3</v>
      </c>
      <c r="Q89" s="8" t="str">
        <f t="shared" si="15"/>
        <v>Sam</v>
      </c>
      <c r="R89" s="8" t="str">
        <f t="shared" si="16"/>
        <v>Wilson</v>
      </c>
    </row>
    <row r="90" spans="1:18" x14ac:dyDescent="0.3">
      <c r="A90" t="s">
        <v>97</v>
      </c>
      <c r="B90" t="s">
        <v>164</v>
      </c>
      <c r="C90" t="s">
        <v>169</v>
      </c>
      <c r="E90">
        <v>63434</v>
      </c>
      <c r="F90" s="1">
        <v>42624</v>
      </c>
      <c r="G90">
        <v>3</v>
      </c>
      <c r="I90" t="s">
        <v>251</v>
      </c>
      <c r="J90" s="5" t="str">
        <f t="shared" si="10"/>
        <v>Chris Lee</v>
      </c>
      <c r="K90" s="4">
        <f t="shared" si="11"/>
        <v>64234.728813559319</v>
      </c>
      <c r="L90" s="3">
        <f t="shared" si="12"/>
        <v>2.9019607843137254</v>
      </c>
      <c r="M90" s="5">
        <f t="shared" si="13"/>
        <v>66503</v>
      </c>
      <c r="N90" s="5">
        <f t="shared" si="14"/>
        <v>3</v>
      </c>
      <c r="Q90" s="8" t="str">
        <f t="shared" si="15"/>
        <v>Chris</v>
      </c>
      <c r="R90" s="8" t="str">
        <f t="shared" si="16"/>
        <v>Lee</v>
      </c>
    </row>
    <row r="91" spans="1:18" x14ac:dyDescent="0.3">
      <c r="A91" t="s">
        <v>98</v>
      </c>
      <c r="B91" t="s">
        <v>162</v>
      </c>
      <c r="D91" t="s">
        <v>176</v>
      </c>
      <c r="E91">
        <v>38830</v>
      </c>
      <c r="F91" s="1">
        <v>42631</v>
      </c>
      <c r="G91">
        <v>3</v>
      </c>
      <c r="H91" t="s">
        <v>179</v>
      </c>
      <c r="I91" t="s">
        <v>203</v>
      </c>
      <c r="J91" s="5" t="str">
        <f t="shared" si="10"/>
        <v>Jane Smith</v>
      </c>
      <c r="K91" s="4">
        <f t="shared" si="11"/>
        <v>64248.534482758623</v>
      </c>
      <c r="L91" s="3">
        <f t="shared" si="12"/>
        <v>2.9</v>
      </c>
      <c r="M91" s="5">
        <f t="shared" si="13"/>
        <v>66632</v>
      </c>
      <c r="N91" s="5">
        <f t="shared" si="14"/>
        <v>3</v>
      </c>
      <c r="Q91" s="8" t="str">
        <f t="shared" si="15"/>
        <v>Jane</v>
      </c>
      <c r="R91" s="8" t="str">
        <f t="shared" si="16"/>
        <v>Smith</v>
      </c>
    </row>
    <row r="92" spans="1:18" x14ac:dyDescent="0.3">
      <c r="A92" t="s">
        <v>99</v>
      </c>
      <c r="C92" t="s">
        <v>170</v>
      </c>
      <c r="D92" t="s">
        <v>175</v>
      </c>
      <c r="E92">
        <v>50741</v>
      </c>
      <c r="F92" s="1">
        <v>42638</v>
      </c>
      <c r="G92">
        <v>3</v>
      </c>
      <c r="H92" t="s">
        <v>178</v>
      </c>
      <c r="I92" t="s">
        <v>240</v>
      </c>
      <c r="J92" s="5" t="str">
        <f t="shared" si="10"/>
        <v/>
      </c>
      <c r="K92" s="4">
        <f t="shared" si="11"/>
        <v>64694.473684210527</v>
      </c>
      <c r="L92" s="3">
        <f t="shared" si="12"/>
        <v>2.8979591836734695</v>
      </c>
      <c r="M92" s="5">
        <f t="shared" si="13"/>
        <v>66761</v>
      </c>
      <c r="N92" s="5">
        <f t="shared" si="14"/>
        <v>3</v>
      </c>
      <c r="Q92" s="8"/>
      <c r="R92" s="8"/>
    </row>
    <row r="93" spans="1:18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1">
        <v>42645</v>
      </c>
      <c r="G93">
        <v>1</v>
      </c>
      <c r="H93" t="s">
        <v>180</v>
      </c>
      <c r="I93" t="s">
        <v>225</v>
      </c>
      <c r="J93" s="5" t="str">
        <f t="shared" si="10"/>
        <v>Alice Brown</v>
      </c>
      <c r="K93" s="4">
        <f t="shared" si="11"/>
        <v>64943.642857142855</v>
      </c>
      <c r="L93" s="3">
        <f t="shared" si="12"/>
        <v>2.8958333333333335</v>
      </c>
      <c r="M93" s="5">
        <f t="shared" si="13"/>
        <v>66821.5</v>
      </c>
      <c r="N93" s="5">
        <f t="shared" si="14"/>
        <v>3</v>
      </c>
      <c r="Q93" s="8" t="str">
        <f t="shared" si="15"/>
        <v>Alice</v>
      </c>
      <c r="R93" s="8" t="str">
        <f t="shared" si="16"/>
        <v>Brown</v>
      </c>
    </row>
    <row r="94" spans="1:18" x14ac:dyDescent="0.3">
      <c r="A94" t="s">
        <v>101</v>
      </c>
      <c r="B94" t="s">
        <v>162</v>
      </c>
      <c r="C94" t="s">
        <v>169</v>
      </c>
      <c r="E94">
        <v>80588</v>
      </c>
      <c r="F94" s="1">
        <v>42652</v>
      </c>
      <c r="G94">
        <v>5</v>
      </c>
      <c r="H94" t="s">
        <v>180</v>
      </c>
      <c r="I94" t="s">
        <v>216</v>
      </c>
      <c r="J94" s="5" t="str">
        <f t="shared" si="10"/>
        <v>Jane Smith</v>
      </c>
      <c r="K94" s="4">
        <f t="shared" si="11"/>
        <v>64862.254545454547</v>
      </c>
      <c r="L94" s="3">
        <f t="shared" si="12"/>
        <v>2.9361702127659575</v>
      </c>
      <c r="M94" s="5">
        <f t="shared" si="13"/>
        <v>66761</v>
      </c>
      <c r="N94" s="5">
        <f t="shared" si="14"/>
        <v>3</v>
      </c>
      <c r="Q94" s="8" t="str">
        <f t="shared" si="15"/>
        <v>Jane</v>
      </c>
      <c r="R94" s="8" t="str">
        <f t="shared" si="16"/>
        <v>Smith</v>
      </c>
    </row>
    <row r="95" spans="1:18" x14ac:dyDescent="0.3">
      <c r="A95" t="s">
        <v>102</v>
      </c>
      <c r="B95" t="s">
        <v>160</v>
      </c>
      <c r="D95" t="s">
        <v>173</v>
      </c>
      <c r="E95">
        <v>76238</v>
      </c>
      <c r="F95" s="1">
        <v>42659</v>
      </c>
      <c r="G95">
        <v>4</v>
      </c>
      <c r="H95" t="s">
        <v>180</v>
      </c>
      <c r="I95" t="s">
        <v>252</v>
      </c>
      <c r="J95" s="5" t="str">
        <f t="shared" si="10"/>
        <v>Alice Brown</v>
      </c>
      <c r="K95" s="4">
        <f t="shared" si="11"/>
        <v>64571.037037037036</v>
      </c>
      <c r="L95" s="3">
        <f t="shared" si="12"/>
        <v>2.8913043478260869</v>
      </c>
      <c r="M95" s="5">
        <f t="shared" si="13"/>
        <v>66632</v>
      </c>
      <c r="N95" s="5">
        <f t="shared" si="14"/>
        <v>3</v>
      </c>
      <c r="Q95" s="8" t="str">
        <f t="shared" si="15"/>
        <v>Alice</v>
      </c>
      <c r="R95" s="8" t="str">
        <f t="shared" si="16"/>
        <v>Brown</v>
      </c>
    </row>
    <row r="96" spans="1:18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1">
        <v>42666</v>
      </c>
      <c r="H96" t="s">
        <v>181</v>
      </c>
      <c r="I96" t="s">
        <v>253</v>
      </c>
      <c r="J96" s="5" t="str">
        <f t="shared" si="10"/>
        <v>Bob Johnson</v>
      </c>
      <c r="K96" s="4">
        <f t="shared" si="11"/>
        <v>64350.905660377357</v>
      </c>
      <c r="L96" s="3">
        <f t="shared" si="12"/>
        <v>2.8666666666666667</v>
      </c>
      <c r="M96" s="5">
        <f t="shared" si="13"/>
        <v>66503</v>
      </c>
      <c r="N96" s="5">
        <f t="shared" si="14"/>
        <v>3</v>
      </c>
      <c r="Q96" s="8" t="str">
        <f t="shared" si="15"/>
        <v>Bob</v>
      </c>
      <c r="R96" s="8" t="str">
        <f t="shared" si="16"/>
        <v>Johnson</v>
      </c>
    </row>
    <row r="97" spans="1:18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1">
        <v>42673</v>
      </c>
      <c r="H97" t="s">
        <v>179</v>
      </c>
      <c r="I97" t="s">
        <v>254</v>
      </c>
      <c r="J97" s="5" t="str">
        <f t="shared" si="10"/>
        <v>Alice Brown</v>
      </c>
      <c r="K97" s="4">
        <f t="shared" si="11"/>
        <v>64948.730769230766</v>
      </c>
      <c r="L97" s="3">
        <f t="shared" si="12"/>
        <v>2.8666666666666667</v>
      </c>
      <c r="M97" s="5">
        <f t="shared" si="13"/>
        <v>66632</v>
      </c>
      <c r="N97" s="5">
        <f t="shared" si="14"/>
        <v>3</v>
      </c>
      <c r="Q97" s="8" t="str">
        <f t="shared" si="15"/>
        <v>Alice</v>
      </c>
      <c r="R97" s="8" t="str">
        <f t="shared" si="16"/>
        <v>Brown</v>
      </c>
    </row>
    <row r="98" spans="1:18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1">
        <v>42680</v>
      </c>
      <c r="G98">
        <v>3</v>
      </c>
      <c r="I98" t="s">
        <v>255</v>
      </c>
      <c r="J98" s="5" t="str">
        <f t="shared" ref="J98:J129" si="17">TRIM(B98)</f>
        <v>Jane Smith</v>
      </c>
      <c r="K98" s="4">
        <f t="shared" si="11"/>
        <v>64337.901960784315</v>
      </c>
      <c r="L98" s="3">
        <f t="shared" si="12"/>
        <v>2.8666666666666667</v>
      </c>
      <c r="M98" s="5">
        <f t="shared" ref="M98:M129" si="18">MEDIAN(E98:E247)</f>
        <v>66503</v>
      </c>
      <c r="N98" s="5">
        <f t="shared" ref="N98:N129" si="19">MEDIAN(G98:G247)</f>
        <v>3</v>
      </c>
      <c r="Q98" s="8" t="str">
        <f t="shared" si="15"/>
        <v>Jane</v>
      </c>
      <c r="R98" s="8" t="str">
        <f t="shared" si="16"/>
        <v>Smith</v>
      </c>
    </row>
    <row r="99" spans="1:18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1">
        <v>42687</v>
      </c>
      <c r="G99">
        <v>1</v>
      </c>
      <c r="H99" t="s">
        <v>180</v>
      </c>
      <c r="I99" t="s">
        <v>256</v>
      </c>
      <c r="J99" s="5" t="str">
        <f t="shared" si="17"/>
        <v>Sam Wilson</v>
      </c>
      <c r="K99" s="4">
        <f t="shared" si="11"/>
        <v>64165.88</v>
      </c>
      <c r="L99" s="3">
        <f t="shared" si="12"/>
        <v>2.8636363636363638</v>
      </c>
      <c r="M99" s="5">
        <f t="shared" si="18"/>
        <v>65886.5</v>
      </c>
      <c r="N99" s="5">
        <f t="shared" si="19"/>
        <v>3</v>
      </c>
      <c r="Q99" s="8" t="str">
        <f t="shared" si="15"/>
        <v>Sam</v>
      </c>
      <c r="R99" s="8" t="str">
        <f t="shared" si="16"/>
        <v>Wilson</v>
      </c>
    </row>
    <row r="100" spans="1:18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1">
        <v>42694</v>
      </c>
      <c r="H100" t="s">
        <v>180</v>
      </c>
      <c r="I100" t="s">
        <v>257</v>
      </c>
      <c r="J100" s="5" t="str">
        <f t="shared" si="17"/>
        <v>Bob Johnson</v>
      </c>
      <c r="K100" s="4">
        <f t="shared" si="11"/>
        <v>63652.265306122448</v>
      </c>
      <c r="L100" s="3">
        <f t="shared" si="12"/>
        <v>2.9069767441860463</v>
      </c>
      <c r="M100" s="5">
        <f t="shared" si="18"/>
        <v>65270</v>
      </c>
      <c r="N100" s="5">
        <f t="shared" si="19"/>
        <v>3</v>
      </c>
      <c r="Q100" s="8" t="str">
        <f t="shared" si="15"/>
        <v>Bob</v>
      </c>
      <c r="R100" s="8" t="str">
        <f t="shared" si="16"/>
        <v>Johnson</v>
      </c>
    </row>
    <row r="101" spans="1:18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1">
        <v>42701</v>
      </c>
      <c r="G101">
        <v>4</v>
      </c>
      <c r="H101" t="s">
        <v>180</v>
      </c>
      <c r="I101" t="s">
        <v>258</v>
      </c>
      <c r="J101" s="5" t="str">
        <f t="shared" si="17"/>
        <v>Eve Adams</v>
      </c>
      <c r="K101" s="4">
        <f t="shared" si="11"/>
        <v>63510.229166666664</v>
      </c>
      <c r="L101" s="3">
        <f t="shared" si="12"/>
        <v>2.9069767441860463</v>
      </c>
      <c r="M101" s="5">
        <f t="shared" si="18"/>
        <v>64132</v>
      </c>
      <c r="N101" s="5">
        <f t="shared" si="19"/>
        <v>3</v>
      </c>
      <c r="Q101" s="8" t="str">
        <f t="shared" si="15"/>
        <v>Eve</v>
      </c>
      <c r="R101" s="8" t="str">
        <f t="shared" si="16"/>
        <v>Adams</v>
      </c>
    </row>
    <row r="102" spans="1:18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1">
        <v>42708</v>
      </c>
      <c r="G102">
        <v>2</v>
      </c>
      <c r="H102" t="s">
        <v>179</v>
      </c>
      <c r="I102" t="s">
        <v>259</v>
      </c>
      <c r="J102" s="5" t="str">
        <f t="shared" si="17"/>
        <v>Bob Johnson</v>
      </c>
      <c r="K102" s="4">
        <f t="shared" si="11"/>
        <v>63370.106382978724</v>
      </c>
      <c r="L102" s="3">
        <f t="shared" si="12"/>
        <v>2.8809523809523809</v>
      </c>
      <c r="M102" s="5">
        <f t="shared" si="18"/>
        <v>62994</v>
      </c>
      <c r="N102" s="5">
        <f t="shared" si="19"/>
        <v>3</v>
      </c>
      <c r="Q102" s="8" t="str">
        <f t="shared" si="15"/>
        <v>Bob</v>
      </c>
      <c r="R102" s="8" t="str">
        <f t="shared" si="16"/>
        <v>Johnson</v>
      </c>
    </row>
    <row r="103" spans="1:18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1">
        <v>42715</v>
      </c>
      <c r="H103" t="s">
        <v>180</v>
      </c>
      <c r="I103" t="s">
        <v>200</v>
      </c>
      <c r="J103" s="5" t="str">
        <f t="shared" si="17"/>
        <v>Bob Johnson</v>
      </c>
      <c r="K103" s="4">
        <f t="shared" si="11"/>
        <v>63370.106382978724</v>
      </c>
      <c r="L103" s="3">
        <f t="shared" si="12"/>
        <v>2.9024390243902438</v>
      </c>
      <c r="M103" s="5">
        <f t="shared" si="18"/>
        <v>62994</v>
      </c>
      <c r="N103" s="5">
        <f t="shared" si="19"/>
        <v>3</v>
      </c>
      <c r="Q103" s="8" t="str">
        <f t="shared" si="15"/>
        <v>Bob</v>
      </c>
      <c r="R103" s="8" t="str">
        <f t="shared" si="16"/>
        <v>Johnson</v>
      </c>
    </row>
    <row r="104" spans="1:18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1">
        <v>42722</v>
      </c>
      <c r="H104" t="s">
        <v>181</v>
      </c>
      <c r="I104" t="s">
        <v>260</v>
      </c>
      <c r="J104" s="5" t="str">
        <f t="shared" si="17"/>
        <v>Alice Brown</v>
      </c>
      <c r="K104" s="4">
        <f t="shared" si="11"/>
        <v>63302</v>
      </c>
      <c r="L104" s="3">
        <f t="shared" si="12"/>
        <v>2.9024390243902438</v>
      </c>
      <c r="M104" s="5">
        <f t="shared" si="18"/>
        <v>62735</v>
      </c>
      <c r="N104" s="5">
        <f t="shared" si="19"/>
        <v>3</v>
      </c>
      <c r="Q104" s="8" t="str">
        <f t="shared" si="15"/>
        <v>Alice</v>
      </c>
      <c r="R104" s="8" t="str">
        <f t="shared" si="16"/>
        <v>Brown</v>
      </c>
    </row>
    <row r="105" spans="1:18" x14ac:dyDescent="0.3">
      <c r="A105" t="s">
        <v>112</v>
      </c>
      <c r="B105" t="s">
        <v>160</v>
      </c>
      <c r="C105" t="s">
        <v>170</v>
      </c>
      <c r="E105">
        <v>79145</v>
      </c>
      <c r="F105" s="1">
        <v>42729</v>
      </c>
      <c r="G105">
        <v>5</v>
      </c>
      <c r="H105" t="s">
        <v>179</v>
      </c>
      <c r="I105" t="s">
        <v>223</v>
      </c>
      <c r="J105" s="5" t="str">
        <f t="shared" si="17"/>
        <v>Alice Brown</v>
      </c>
      <c r="K105" s="4">
        <f t="shared" si="11"/>
        <v>63773.244444444441</v>
      </c>
      <c r="L105" s="3">
        <f t="shared" si="12"/>
        <v>2.9024390243902438</v>
      </c>
      <c r="M105" s="5">
        <f t="shared" si="18"/>
        <v>62994</v>
      </c>
      <c r="N105" s="5">
        <f t="shared" si="19"/>
        <v>3</v>
      </c>
      <c r="Q105" s="8" t="str">
        <f t="shared" si="15"/>
        <v>Alice</v>
      </c>
      <c r="R105" s="8" t="str">
        <f t="shared" si="16"/>
        <v>Brown</v>
      </c>
    </row>
    <row r="106" spans="1:18" x14ac:dyDescent="0.3">
      <c r="A106" t="s">
        <v>113</v>
      </c>
      <c r="B106" t="s">
        <v>162</v>
      </c>
      <c r="D106" t="s">
        <v>176</v>
      </c>
      <c r="E106">
        <v>61556</v>
      </c>
      <c r="F106" s="1">
        <v>42736</v>
      </c>
      <c r="G106">
        <v>1</v>
      </c>
      <c r="I106" t="s">
        <v>259</v>
      </c>
      <c r="J106" s="5" t="str">
        <f t="shared" si="17"/>
        <v>Jane Smith</v>
      </c>
      <c r="K106" s="4">
        <f t="shared" si="11"/>
        <v>63423.88636363636</v>
      </c>
      <c r="L106" s="3">
        <f t="shared" si="12"/>
        <v>2.85</v>
      </c>
      <c r="M106" s="5">
        <f t="shared" si="18"/>
        <v>62735</v>
      </c>
      <c r="N106" s="5">
        <f t="shared" si="19"/>
        <v>3</v>
      </c>
      <c r="Q106" s="8" t="str">
        <f t="shared" si="15"/>
        <v>Jane</v>
      </c>
      <c r="R106" s="8" t="str">
        <f t="shared" si="16"/>
        <v>Smith</v>
      </c>
    </row>
    <row r="107" spans="1:18" x14ac:dyDescent="0.3">
      <c r="A107" t="s">
        <v>114</v>
      </c>
      <c r="C107" t="s">
        <v>167</v>
      </c>
      <c r="D107" t="s">
        <v>175</v>
      </c>
      <c r="E107">
        <v>87963</v>
      </c>
      <c r="F107" s="1">
        <v>42743</v>
      </c>
      <c r="G107">
        <v>3</v>
      </c>
      <c r="H107" t="s">
        <v>179</v>
      </c>
      <c r="I107" t="s">
        <v>182</v>
      </c>
      <c r="J107" s="5" t="str">
        <f t="shared" si="17"/>
        <v/>
      </c>
      <c r="K107" s="4">
        <f t="shared" si="11"/>
        <v>63467.325581395351</v>
      </c>
      <c r="L107" s="3">
        <f t="shared" si="12"/>
        <v>2.8974358974358974</v>
      </c>
      <c r="M107" s="5">
        <f t="shared" si="18"/>
        <v>62994</v>
      </c>
      <c r="N107" s="5">
        <f t="shared" si="19"/>
        <v>3</v>
      </c>
      <c r="Q107" s="8"/>
      <c r="R107" s="8"/>
    </row>
    <row r="108" spans="1:18" x14ac:dyDescent="0.3">
      <c r="A108" t="s">
        <v>115</v>
      </c>
      <c r="B108" t="s">
        <v>159</v>
      </c>
      <c r="C108" t="s">
        <v>169</v>
      </c>
      <c r="E108">
        <v>48325</v>
      </c>
      <c r="F108" s="1">
        <v>42750</v>
      </c>
      <c r="H108" t="s">
        <v>180</v>
      </c>
      <c r="I108" t="s">
        <v>261</v>
      </c>
      <c r="J108" s="5" t="str">
        <f t="shared" si="17"/>
        <v>Eve Adams</v>
      </c>
      <c r="K108" s="4">
        <f t="shared" si="11"/>
        <v>62884.095238095237</v>
      </c>
      <c r="L108" s="3">
        <f t="shared" si="12"/>
        <v>2.8947368421052633</v>
      </c>
      <c r="M108" s="5">
        <f t="shared" si="18"/>
        <v>62735</v>
      </c>
      <c r="N108" s="5">
        <f t="shared" si="19"/>
        <v>3</v>
      </c>
      <c r="Q108" s="8" t="str">
        <f t="shared" si="15"/>
        <v>Eve</v>
      </c>
      <c r="R108" s="8" t="str">
        <f t="shared" si="16"/>
        <v>Adams</v>
      </c>
    </row>
    <row r="109" spans="1:18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1">
        <v>42757</v>
      </c>
      <c r="G109">
        <v>2</v>
      </c>
      <c r="H109" t="s">
        <v>181</v>
      </c>
      <c r="I109" t="s">
        <v>202</v>
      </c>
      <c r="J109" s="5" t="str">
        <f t="shared" si="17"/>
        <v>Sam Wilson</v>
      </c>
      <c r="K109" s="4">
        <f t="shared" si="11"/>
        <v>63239.195121951219</v>
      </c>
      <c r="L109" s="3">
        <f t="shared" si="12"/>
        <v>2.8947368421052633</v>
      </c>
      <c r="M109" s="5">
        <f t="shared" si="18"/>
        <v>62994</v>
      </c>
      <c r="N109" s="5">
        <f t="shared" si="19"/>
        <v>3</v>
      </c>
      <c r="Q109" s="8" t="str">
        <f t="shared" si="15"/>
        <v>Sam</v>
      </c>
      <c r="R109" s="8" t="str">
        <f t="shared" si="16"/>
        <v>Wilson</v>
      </c>
    </row>
    <row r="110" spans="1:18" x14ac:dyDescent="0.3">
      <c r="A110" t="s">
        <v>117</v>
      </c>
      <c r="B110" t="s">
        <v>163</v>
      </c>
      <c r="C110" t="s">
        <v>167</v>
      </c>
      <c r="E110">
        <v>66761</v>
      </c>
      <c r="F110" s="1">
        <v>42764</v>
      </c>
      <c r="G110">
        <v>1</v>
      </c>
      <c r="I110" t="s">
        <v>262</v>
      </c>
      <c r="J110" s="5" t="str">
        <f t="shared" si="17"/>
        <v>Sam Wilson</v>
      </c>
      <c r="K110" s="4">
        <f t="shared" si="11"/>
        <v>62659.875</v>
      </c>
      <c r="L110" s="3">
        <f t="shared" si="12"/>
        <v>2.9189189189189189</v>
      </c>
      <c r="M110" s="5">
        <f t="shared" si="18"/>
        <v>62735</v>
      </c>
      <c r="N110" s="5">
        <f t="shared" si="19"/>
        <v>3</v>
      </c>
      <c r="Q110" s="8" t="str">
        <f t="shared" si="15"/>
        <v>Sam</v>
      </c>
      <c r="R110" s="8" t="str">
        <f t="shared" si="16"/>
        <v>Wilson</v>
      </c>
    </row>
    <row r="111" spans="1:18" x14ac:dyDescent="0.3">
      <c r="A111" t="s">
        <v>118</v>
      </c>
      <c r="B111" t="s">
        <v>162</v>
      </c>
      <c r="D111" t="s">
        <v>174</v>
      </c>
      <c r="E111">
        <v>88850</v>
      </c>
      <c r="F111" s="1">
        <v>42771</v>
      </c>
      <c r="G111">
        <v>1</v>
      </c>
      <c r="H111" t="s">
        <v>181</v>
      </c>
      <c r="I111" t="s">
        <v>263</v>
      </c>
      <c r="J111" s="5" t="str">
        <f t="shared" si="17"/>
        <v>Jane Smith</v>
      </c>
      <c r="K111" s="4">
        <f t="shared" si="11"/>
        <v>62554.717948717946</v>
      </c>
      <c r="L111" s="3">
        <f t="shared" si="12"/>
        <v>2.9722222222222223</v>
      </c>
      <c r="M111" s="5">
        <f t="shared" si="18"/>
        <v>62476</v>
      </c>
      <c r="N111" s="5">
        <f t="shared" si="19"/>
        <v>3</v>
      </c>
      <c r="Q111" s="8" t="str">
        <f t="shared" si="15"/>
        <v>Jane</v>
      </c>
      <c r="R111" s="8" t="str">
        <f t="shared" si="16"/>
        <v>Smith</v>
      </c>
    </row>
    <row r="112" spans="1:18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  <c r="J112" s="5" t="str">
        <f t="shared" si="17"/>
        <v>Chris Lee</v>
      </c>
      <c r="K112" s="4">
        <f t="shared" si="11"/>
        <v>61862.73684210526</v>
      </c>
      <c r="L112" s="3">
        <f t="shared" si="12"/>
        <v>3.0285714285714285</v>
      </c>
      <c r="M112" s="5">
        <f t="shared" si="18"/>
        <v>61405.5</v>
      </c>
      <c r="N112" s="5">
        <f t="shared" si="19"/>
        <v>3</v>
      </c>
      <c r="Q112" s="8" t="str">
        <f t="shared" si="15"/>
        <v>Chris</v>
      </c>
      <c r="R112" s="8" t="str">
        <f t="shared" si="16"/>
        <v>Lee</v>
      </c>
    </row>
    <row r="113" spans="1:18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1">
        <v>42785</v>
      </c>
      <c r="G113">
        <v>5</v>
      </c>
      <c r="H113" t="s">
        <v>181</v>
      </c>
      <c r="I113" t="s">
        <v>239</v>
      </c>
      <c r="J113" s="5" t="str">
        <f t="shared" si="17"/>
        <v>Chris Lee</v>
      </c>
      <c r="K113" s="4">
        <f t="shared" si="11"/>
        <v>62688.945945945947</v>
      </c>
      <c r="L113" s="3">
        <f t="shared" si="12"/>
        <v>3.0588235294117645</v>
      </c>
      <c r="M113" s="5">
        <f t="shared" si="18"/>
        <v>62476</v>
      </c>
      <c r="N113" s="5">
        <f t="shared" si="19"/>
        <v>3</v>
      </c>
      <c r="Q113" s="8" t="str">
        <f t="shared" si="15"/>
        <v>Chris</v>
      </c>
      <c r="R113" s="8" t="str">
        <f t="shared" si="16"/>
        <v>Lee</v>
      </c>
    </row>
    <row r="114" spans="1:18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1">
        <v>42792</v>
      </c>
      <c r="H114" t="s">
        <v>179</v>
      </c>
      <c r="I114" t="s">
        <v>258</v>
      </c>
      <c r="J114" s="5" t="str">
        <f t="shared" si="17"/>
        <v>Eve Adams</v>
      </c>
      <c r="K114" s="4">
        <f t="shared" si="11"/>
        <v>63477.361111111109</v>
      </c>
      <c r="L114" s="3">
        <f t="shared" si="12"/>
        <v>3</v>
      </c>
      <c r="M114" s="5">
        <f t="shared" si="18"/>
        <v>62735</v>
      </c>
      <c r="N114" s="5">
        <f t="shared" si="19"/>
        <v>3</v>
      </c>
      <c r="Q114" s="8" t="str">
        <f t="shared" si="15"/>
        <v>Eve</v>
      </c>
      <c r="R114" s="8" t="str">
        <f t="shared" si="16"/>
        <v>Adams</v>
      </c>
    </row>
    <row r="115" spans="1:18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1">
        <v>42799</v>
      </c>
      <c r="G115">
        <v>1</v>
      </c>
      <c r="H115" t="s">
        <v>180</v>
      </c>
      <c r="I115" t="s">
        <v>265</v>
      </c>
      <c r="J115" s="5" t="str">
        <f t="shared" si="17"/>
        <v>Alice Brown</v>
      </c>
      <c r="K115" s="4">
        <f t="shared" si="11"/>
        <v>63053</v>
      </c>
      <c r="L115" s="3">
        <f t="shared" si="12"/>
        <v>3</v>
      </c>
      <c r="M115" s="5">
        <f t="shared" si="18"/>
        <v>62476</v>
      </c>
      <c r="N115" s="5">
        <f t="shared" si="19"/>
        <v>3</v>
      </c>
      <c r="Q115" s="8" t="str">
        <f t="shared" si="15"/>
        <v>Alice</v>
      </c>
      <c r="R115" s="8" t="str">
        <f t="shared" si="16"/>
        <v>Brown</v>
      </c>
    </row>
    <row r="116" spans="1:18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1">
        <v>42806</v>
      </c>
      <c r="G116">
        <v>4</v>
      </c>
      <c r="I116" t="s">
        <v>235</v>
      </c>
      <c r="J116" s="5" t="str">
        <f t="shared" si="17"/>
        <v>Eve Adams</v>
      </c>
      <c r="K116" s="4">
        <f t="shared" si="11"/>
        <v>63505.941176470587</v>
      </c>
      <c r="L116" s="3">
        <f t="shared" si="12"/>
        <v>3.0625</v>
      </c>
      <c r="M116" s="5">
        <f t="shared" si="18"/>
        <v>62735</v>
      </c>
      <c r="N116" s="5">
        <f t="shared" si="19"/>
        <v>3</v>
      </c>
      <c r="Q116" s="8" t="str">
        <f t="shared" si="15"/>
        <v>Eve</v>
      </c>
      <c r="R116" s="8" t="str">
        <f t="shared" si="16"/>
        <v>Adams</v>
      </c>
    </row>
    <row r="117" spans="1:18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1">
        <v>42813</v>
      </c>
      <c r="G117">
        <v>4</v>
      </c>
      <c r="H117" t="s">
        <v>181</v>
      </c>
      <c r="I117" t="s">
        <v>203</v>
      </c>
      <c r="J117" s="5" t="str">
        <f t="shared" si="17"/>
        <v>Bob Johnson</v>
      </c>
      <c r="K117" s="4">
        <f t="shared" si="11"/>
        <v>64078.030303030304</v>
      </c>
      <c r="L117" s="3">
        <f t="shared" si="12"/>
        <v>3.032258064516129</v>
      </c>
      <c r="M117" s="5">
        <f t="shared" si="18"/>
        <v>62994</v>
      </c>
      <c r="N117" s="5">
        <f t="shared" si="19"/>
        <v>3</v>
      </c>
      <c r="Q117" s="8" t="str">
        <f t="shared" si="15"/>
        <v>Bob</v>
      </c>
      <c r="R117" s="8" t="str">
        <f t="shared" si="16"/>
        <v>Johnson</v>
      </c>
    </row>
    <row r="118" spans="1:18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1">
        <v>42820</v>
      </c>
      <c r="G118">
        <v>5</v>
      </c>
      <c r="H118" t="s">
        <v>181</v>
      </c>
      <c r="I118" t="s">
        <v>239</v>
      </c>
      <c r="J118" s="5" t="str">
        <f t="shared" si="17"/>
        <v>Bob Johnson</v>
      </c>
      <c r="K118" s="4">
        <f t="shared" si="11"/>
        <v>63194.75</v>
      </c>
      <c r="L118" s="3">
        <f t="shared" si="12"/>
        <v>3</v>
      </c>
      <c r="M118" s="5">
        <f t="shared" si="18"/>
        <v>62735</v>
      </c>
      <c r="N118" s="5">
        <f t="shared" si="19"/>
        <v>3</v>
      </c>
      <c r="Q118" s="8" t="str">
        <f t="shared" si="15"/>
        <v>Bob</v>
      </c>
      <c r="R118" s="8" t="str">
        <f t="shared" si="16"/>
        <v>Johnson</v>
      </c>
    </row>
    <row r="119" spans="1:18" x14ac:dyDescent="0.3">
      <c r="A119" t="s">
        <v>126</v>
      </c>
      <c r="B119" t="s">
        <v>165</v>
      </c>
      <c r="C119" t="s">
        <v>170</v>
      </c>
      <c r="E119">
        <v>73483</v>
      </c>
      <c r="F119" s="1">
        <v>42827</v>
      </c>
      <c r="G119">
        <v>1</v>
      </c>
      <c r="I119" t="s">
        <v>266</v>
      </c>
      <c r="J119" s="5" t="str">
        <f t="shared" si="17"/>
        <v>Bob Johnson</v>
      </c>
      <c r="K119" s="4">
        <f t="shared" si="11"/>
        <v>63980.483870967742</v>
      </c>
      <c r="L119" s="3">
        <f t="shared" si="12"/>
        <v>2.9310344827586206</v>
      </c>
      <c r="M119" s="5">
        <f t="shared" si="18"/>
        <v>62994</v>
      </c>
      <c r="N119" s="5">
        <f t="shared" si="19"/>
        <v>3</v>
      </c>
      <c r="Q119" s="8" t="str">
        <f t="shared" si="15"/>
        <v>Bob</v>
      </c>
      <c r="R119" s="8" t="str">
        <f t="shared" si="16"/>
        <v>Johnson</v>
      </c>
    </row>
    <row r="120" spans="1:18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1">
        <v>42834</v>
      </c>
      <c r="G120">
        <v>3</v>
      </c>
      <c r="I120" t="s">
        <v>267</v>
      </c>
      <c r="J120" s="5" t="str">
        <f t="shared" si="17"/>
        <v>Chris Lee</v>
      </c>
      <c r="K120" s="4">
        <f t="shared" si="11"/>
        <v>63663.73333333333</v>
      </c>
      <c r="L120" s="3">
        <f t="shared" si="12"/>
        <v>3</v>
      </c>
      <c r="M120" s="5">
        <f t="shared" si="18"/>
        <v>62735</v>
      </c>
      <c r="N120" s="5">
        <f t="shared" si="19"/>
        <v>3</v>
      </c>
      <c r="Q120" s="8" t="str">
        <f t="shared" si="15"/>
        <v>Chris</v>
      </c>
      <c r="R120" s="8" t="str">
        <f t="shared" si="16"/>
        <v>Lee</v>
      </c>
    </row>
    <row r="121" spans="1:18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1">
        <v>42841</v>
      </c>
      <c r="H121" t="s">
        <v>181</v>
      </c>
      <c r="I121" t="s">
        <v>200</v>
      </c>
      <c r="J121" s="5" t="str">
        <f t="shared" si="17"/>
        <v>Eve Adams</v>
      </c>
      <c r="K121" s="4">
        <f t="shared" si="11"/>
        <v>62582.068965517239</v>
      </c>
      <c r="L121" s="3">
        <f t="shared" si="12"/>
        <v>3</v>
      </c>
      <c r="M121" s="5">
        <f t="shared" si="18"/>
        <v>62476</v>
      </c>
      <c r="N121" s="5">
        <f t="shared" si="19"/>
        <v>3</v>
      </c>
      <c r="Q121" s="8" t="str">
        <f t="shared" si="15"/>
        <v>Eve</v>
      </c>
      <c r="R121" s="8" t="str">
        <f t="shared" si="16"/>
        <v>Adams</v>
      </c>
    </row>
    <row r="122" spans="1:18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  <c r="J122" s="5" t="str">
        <f t="shared" si="17"/>
        <v/>
      </c>
      <c r="K122" s="4">
        <f t="shared" si="11"/>
        <v>63232.928571428572</v>
      </c>
      <c r="L122" s="3">
        <f t="shared" si="12"/>
        <v>3</v>
      </c>
      <c r="M122" s="5">
        <f t="shared" si="18"/>
        <v>62735</v>
      </c>
      <c r="N122" s="5">
        <f t="shared" si="19"/>
        <v>3</v>
      </c>
      <c r="Q122" s="8"/>
      <c r="R122" s="8"/>
    </row>
    <row r="123" spans="1:18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1">
        <v>42855</v>
      </c>
      <c r="G123">
        <v>2</v>
      </c>
      <c r="I123" t="s">
        <v>269</v>
      </c>
      <c r="J123" s="5" t="str">
        <f t="shared" si="17"/>
        <v>Chris Lee</v>
      </c>
      <c r="K123" s="4">
        <f t="shared" si="11"/>
        <v>63232.928571428572</v>
      </c>
      <c r="L123" s="3">
        <f t="shared" si="12"/>
        <v>2.9230769230769229</v>
      </c>
      <c r="M123" s="5">
        <f t="shared" si="18"/>
        <v>62735</v>
      </c>
      <c r="N123" s="5">
        <f t="shared" si="19"/>
        <v>3</v>
      </c>
      <c r="Q123" s="8" t="str">
        <f t="shared" si="15"/>
        <v>Chris</v>
      </c>
      <c r="R123" s="8" t="str">
        <f t="shared" si="16"/>
        <v>Lee</v>
      </c>
    </row>
    <row r="124" spans="1:18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1">
        <v>42862</v>
      </c>
      <c r="G124">
        <v>3</v>
      </c>
      <c r="H124" t="s">
        <v>180</v>
      </c>
      <c r="I124" t="s">
        <v>270</v>
      </c>
      <c r="J124" s="5" t="str">
        <f t="shared" si="17"/>
        <v>Bob Johnson</v>
      </c>
      <c r="K124" s="4">
        <f t="shared" si="11"/>
        <v>63883.185185185182</v>
      </c>
      <c r="L124" s="3">
        <f t="shared" si="12"/>
        <v>2.96</v>
      </c>
      <c r="M124" s="5">
        <f t="shared" si="18"/>
        <v>62994</v>
      </c>
      <c r="N124" s="5">
        <f t="shared" si="19"/>
        <v>3</v>
      </c>
      <c r="Q124" s="8" t="str">
        <f t="shared" si="15"/>
        <v>Bob</v>
      </c>
      <c r="R124" s="8" t="str">
        <f t="shared" si="16"/>
        <v>Johnson</v>
      </c>
    </row>
    <row r="125" spans="1:18" x14ac:dyDescent="0.3">
      <c r="A125" t="s">
        <v>132</v>
      </c>
      <c r="B125" t="s">
        <v>162</v>
      </c>
      <c r="D125" t="s">
        <v>172</v>
      </c>
      <c r="E125">
        <v>30357</v>
      </c>
      <c r="F125" s="1">
        <v>42869</v>
      </c>
      <c r="G125">
        <v>5</v>
      </c>
      <c r="H125" t="s">
        <v>180</v>
      </c>
      <c r="I125" t="s">
        <v>248</v>
      </c>
      <c r="J125" s="5" t="str">
        <f t="shared" si="17"/>
        <v>Jane Smith</v>
      </c>
      <c r="K125" s="4">
        <f t="shared" si="11"/>
        <v>64338.846153846156</v>
      </c>
      <c r="L125" s="3">
        <f t="shared" si="12"/>
        <v>2.9583333333333335</v>
      </c>
      <c r="M125" s="5">
        <f t="shared" si="18"/>
        <v>64132</v>
      </c>
      <c r="N125" s="5">
        <f t="shared" si="19"/>
        <v>3</v>
      </c>
      <c r="Q125" s="8" t="str">
        <f t="shared" si="15"/>
        <v>Jane</v>
      </c>
      <c r="R125" s="8" t="str">
        <f t="shared" si="16"/>
        <v>Smith</v>
      </c>
    </row>
    <row r="126" spans="1:18" x14ac:dyDescent="0.3">
      <c r="A126" t="s">
        <v>133</v>
      </c>
      <c r="B126" t="s">
        <v>161</v>
      </c>
      <c r="C126" t="s">
        <v>169</v>
      </c>
      <c r="E126">
        <v>60034</v>
      </c>
      <c r="F126" s="1">
        <v>42876</v>
      </c>
      <c r="G126">
        <v>1</v>
      </c>
      <c r="H126" t="s">
        <v>181</v>
      </c>
      <c r="I126" t="s">
        <v>271</v>
      </c>
      <c r="J126" s="5" t="str">
        <f t="shared" si="17"/>
        <v>John Doe</v>
      </c>
      <c r="K126" s="4">
        <f t="shared" si="11"/>
        <v>65698.12</v>
      </c>
      <c r="L126" s="3">
        <f t="shared" si="12"/>
        <v>2.8695652173913042</v>
      </c>
      <c r="M126" s="5">
        <f t="shared" si="18"/>
        <v>65270</v>
      </c>
      <c r="N126" s="5">
        <f t="shared" si="19"/>
        <v>3</v>
      </c>
      <c r="Q126" s="8" t="str">
        <f t="shared" si="15"/>
        <v>John</v>
      </c>
      <c r="R126" s="8" t="str">
        <f t="shared" si="16"/>
        <v>Doe</v>
      </c>
    </row>
    <row r="127" spans="1:18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1">
        <v>42883</v>
      </c>
      <c r="G127">
        <v>5</v>
      </c>
      <c r="I127" t="s">
        <v>272</v>
      </c>
      <c r="J127" s="5" t="str">
        <f t="shared" si="17"/>
        <v>John Doe</v>
      </c>
      <c r="K127" s="4">
        <f t="shared" si="11"/>
        <v>65934.125</v>
      </c>
      <c r="L127" s="3">
        <f t="shared" si="12"/>
        <v>2.9545454545454546</v>
      </c>
      <c r="M127" s="5">
        <f t="shared" si="18"/>
        <v>66076</v>
      </c>
      <c r="N127" s="5">
        <f t="shared" si="19"/>
        <v>3</v>
      </c>
      <c r="Q127" s="8" t="str">
        <f t="shared" si="15"/>
        <v>John</v>
      </c>
      <c r="R127" s="8" t="str">
        <f t="shared" si="16"/>
        <v>Doe</v>
      </c>
    </row>
    <row r="128" spans="1:18" x14ac:dyDescent="0.3">
      <c r="A128" t="s">
        <v>135</v>
      </c>
      <c r="B128" t="s">
        <v>165</v>
      </c>
      <c r="D128" t="s">
        <v>172</v>
      </c>
      <c r="E128">
        <v>71494</v>
      </c>
      <c r="F128" s="1">
        <v>42890</v>
      </c>
      <c r="G128">
        <v>3</v>
      </c>
      <c r="H128" t="s">
        <v>180</v>
      </c>
      <c r="I128" t="s">
        <v>273</v>
      </c>
      <c r="J128" s="5" t="str">
        <f t="shared" si="17"/>
        <v>Bob Johnson</v>
      </c>
      <c r="K128" s="4">
        <f t="shared" si="11"/>
        <v>64886.956521739128</v>
      </c>
      <c r="L128" s="3">
        <f t="shared" si="12"/>
        <v>2.8571428571428572</v>
      </c>
      <c r="M128" s="5">
        <f t="shared" si="18"/>
        <v>65270</v>
      </c>
      <c r="N128" s="5">
        <f t="shared" si="19"/>
        <v>3</v>
      </c>
      <c r="Q128" s="8" t="str">
        <f t="shared" si="15"/>
        <v>Bob</v>
      </c>
      <c r="R128" s="8" t="str">
        <f t="shared" si="16"/>
        <v>Johnson</v>
      </c>
    </row>
    <row r="129" spans="1:18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1">
        <v>42897</v>
      </c>
      <c r="G129">
        <v>2</v>
      </c>
      <c r="H129" t="s">
        <v>180</v>
      </c>
      <c r="I129" t="s">
        <v>209</v>
      </c>
      <c r="J129" s="5" t="str">
        <f t="shared" si="17"/>
        <v>John Doe</v>
      </c>
      <c r="K129" s="4">
        <f t="shared" si="11"/>
        <v>64586.63636363636</v>
      </c>
      <c r="L129" s="3">
        <f t="shared" si="12"/>
        <v>2.85</v>
      </c>
      <c r="M129" s="5">
        <f t="shared" si="18"/>
        <v>64132</v>
      </c>
      <c r="N129" s="5">
        <f t="shared" si="19"/>
        <v>3</v>
      </c>
      <c r="Q129" s="8" t="str">
        <f t="shared" si="15"/>
        <v>John</v>
      </c>
      <c r="R129" s="8" t="str">
        <f t="shared" si="16"/>
        <v>Doe</v>
      </c>
    </row>
    <row r="130" spans="1:18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1">
        <v>42904</v>
      </c>
      <c r="G130">
        <v>1</v>
      </c>
      <c r="I130" t="s">
        <v>274</v>
      </c>
      <c r="J130" s="5" t="str">
        <f t="shared" ref="J130:J151" si="20">TRIM(B130)</f>
        <v>Chris Lee</v>
      </c>
      <c r="K130" s="4">
        <f t="shared" ref="K130:K151" si="21">AVERAGE(E130:E279)</f>
        <v>63283.476190476191</v>
      </c>
      <c r="L130" s="3">
        <f t="shared" ref="L130:L151" si="22">AVERAGE(G130:G279)</f>
        <v>2.8947368421052633</v>
      </c>
      <c r="M130" s="5">
        <f t="shared" ref="M130:M151" si="23">MEDIAN(E130:E279)</f>
        <v>62994</v>
      </c>
      <c r="N130" s="5">
        <f t="shared" ref="N130:N151" si="24">MEDIAN(G130:G279)</f>
        <v>3</v>
      </c>
      <c r="Q130" s="8" t="str">
        <f t="shared" si="15"/>
        <v>Chris</v>
      </c>
      <c r="R130" s="8" t="str">
        <f t="shared" si="16"/>
        <v>Lee</v>
      </c>
    </row>
    <row r="131" spans="1:18" x14ac:dyDescent="0.3">
      <c r="A131" t="s">
        <v>138</v>
      </c>
      <c r="B131" t="s">
        <v>165</v>
      </c>
      <c r="D131" t="s">
        <v>175</v>
      </c>
      <c r="E131">
        <v>62994</v>
      </c>
      <c r="F131" s="1">
        <v>42911</v>
      </c>
      <c r="I131" t="s">
        <v>221</v>
      </c>
      <c r="J131" s="5" t="str">
        <f t="shared" si="20"/>
        <v>Bob Johnson</v>
      </c>
      <c r="K131" s="4">
        <f t="shared" si="21"/>
        <v>64927.55</v>
      </c>
      <c r="L131" s="3">
        <f t="shared" si="22"/>
        <v>3</v>
      </c>
      <c r="M131" s="5">
        <f t="shared" si="23"/>
        <v>64132</v>
      </c>
      <c r="N131" s="5">
        <f t="shared" si="24"/>
        <v>3</v>
      </c>
      <c r="Q131" s="8" t="str">
        <f t="shared" ref="Q131:Q151" si="25">LEFT(B131, FIND(" ", B131)-1)</f>
        <v>Bob</v>
      </c>
      <c r="R131" s="8" t="str">
        <f t="shared" ref="R131:R151" si="26">RIGHT(B131, LEN(B131)-FIND(" ", B131))</f>
        <v>Johnson</v>
      </c>
    </row>
    <row r="132" spans="1:18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  <c r="J132" s="5" t="str">
        <f t="shared" si="20"/>
        <v>Alice Brown</v>
      </c>
      <c r="K132" s="4">
        <f t="shared" si="21"/>
        <v>65029.315789473687</v>
      </c>
      <c r="L132" s="3">
        <f t="shared" si="22"/>
        <v>3</v>
      </c>
      <c r="M132" s="5">
        <f t="shared" si="23"/>
        <v>65270</v>
      </c>
      <c r="N132" s="5">
        <f t="shared" si="24"/>
        <v>3</v>
      </c>
      <c r="Q132" s="8" t="str">
        <f t="shared" si="25"/>
        <v>Alice</v>
      </c>
      <c r="R132" s="8" t="str">
        <f t="shared" si="26"/>
        <v>Brown</v>
      </c>
    </row>
    <row r="133" spans="1:18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1">
        <v>42925</v>
      </c>
      <c r="G133">
        <v>3</v>
      </c>
      <c r="H133" t="s">
        <v>179</v>
      </c>
      <c r="I133" t="s">
        <v>218</v>
      </c>
      <c r="J133" s="5" t="str">
        <f t="shared" si="20"/>
        <v>Sam Wilson</v>
      </c>
      <c r="K133" s="4">
        <f t="shared" si="21"/>
        <v>65959.333333333328</v>
      </c>
      <c r="L133" s="3">
        <f t="shared" si="22"/>
        <v>3</v>
      </c>
      <c r="M133" s="5">
        <f t="shared" si="23"/>
        <v>66076</v>
      </c>
      <c r="N133" s="5">
        <f t="shared" si="24"/>
        <v>3</v>
      </c>
      <c r="Q133" s="8" t="str">
        <f t="shared" si="25"/>
        <v>Sam</v>
      </c>
      <c r="R133" s="8" t="str">
        <f t="shared" si="26"/>
        <v>Wilson</v>
      </c>
    </row>
    <row r="134" spans="1:18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1">
        <v>42932</v>
      </c>
      <c r="G134">
        <v>3</v>
      </c>
      <c r="H134" t="s">
        <v>179</v>
      </c>
      <c r="I134" t="s">
        <v>275</v>
      </c>
      <c r="J134" s="5" t="str">
        <f t="shared" si="20"/>
        <v>Eve Adams</v>
      </c>
      <c r="K134" s="4">
        <f t="shared" si="21"/>
        <v>67815.647058823524</v>
      </c>
      <c r="L134" s="3">
        <f t="shared" si="22"/>
        <v>3</v>
      </c>
      <c r="M134" s="5">
        <f t="shared" si="23"/>
        <v>66882</v>
      </c>
      <c r="N134" s="5">
        <f t="shared" si="24"/>
        <v>3</v>
      </c>
      <c r="Q134" s="8" t="str">
        <f t="shared" si="25"/>
        <v>Eve</v>
      </c>
      <c r="R134" s="8" t="str">
        <f t="shared" si="26"/>
        <v>Adams</v>
      </c>
    </row>
    <row r="135" spans="1:18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1">
        <v>42939</v>
      </c>
      <c r="G135">
        <v>3</v>
      </c>
      <c r="I135" t="s">
        <v>264</v>
      </c>
      <c r="J135" s="5" t="str">
        <f t="shared" si="20"/>
        <v>Chris Lee</v>
      </c>
      <c r="K135" s="4">
        <f t="shared" si="21"/>
        <v>69636.75</v>
      </c>
      <c r="L135" s="3">
        <f t="shared" si="22"/>
        <v>3</v>
      </c>
      <c r="M135" s="5">
        <f t="shared" si="23"/>
        <v>67108.5</v>
      </c>
      <c r="N135" s="5">
        <f t="shared" si="24"/>
        <v>3</v>
      </c>
      <c r="Q135" s="8" t="str">
        <f t="shared" si="25"/>
        <v>Chris</v>
      </c>
      <c r="R135" s="8" t="str">
        <f t="shared" si="26"/>
        <v>Lee</v>
      </c>
    </row>
    <row r="136" spans="1:18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1">
        <v>42946</v>
      </c>
      <c r="G136">
        <v>1</v>
      </c>
      <c r="H136" t="s">
        <v>179</v>
      </c>
      <c r="I136" t="s">
        <v>231</v>
      </c>
      <c r="J136" s="5" t="str">
        <f t="shared" si="20"/>
        <v>Eve Adams</v>
      </c>
      <c r="K136" s="4">
        <f t="shared" si="21"/>
        <v>71228.666666666672</v>
      </c>
      <c r="L136" s="3">
        <f t="shared" si="22"/>
        <v>3</v>
      </c>
      <c r="M136" s="5">
        <f t="shared" si="23"/>
        <v>67335</v>
      </c>
      <c r="N136" s="5">
        <f t="shared" si="24"/>
        <v>3</v>
      </c>
      <c r="Q136" s="8" t="str">
        <f t="shared" si="25"/>
        <v>Eve</v>
      </c>
      <c r="R136" s="8" t="str">
        <f t="shared" si="26"/>
        <v>Adams</v>
      </c>
    </row>
    <row r="137" spans="1:18" x14ac:dyDescent="0.3">
      <c r="A137" t="s">
        <v>144</v>
      </c>
      <c r="C137" t="s">
        <v>169</v>
      </c>
      <c r="D137" t="s">
        <v>175</v>
      </c>
      <c r="E137">
        <v>39280</v>
      </c>
      <c r="F137" s="1">
        <v>42953</v>
      </c>
      <c r="G137">
        <v>3</v>
      </c>
      <c r="H137" t="s">
        <v>181</v>
      </c>
      <c r="I137" t="s">
        <v>214</v>
      </c>
      <c r="J137" s="5" t="str">
        <f t="shared" si="20"/>
        <v/>
      </c>
      <c r="K137" s="4">
        <f t="shared" si="21"/>
        <v>71853.857142857145</v>
      </c>
      <c r="L137" s="3">
        <f t="shared" si="22"/>
        <v>3.1538461538461537</v>
      </c>
      <c r="M137" s="5">
        <f t="shared" si="23"/>
        <v>70341.5</v>
      </c>
      <c r="N137" s="5">
        <f t="shared" si="24"/>
        <v>3</v>
      </c>
      <c r="Q137" s="8"/>
      <c r="R137" s="8"/>
    </row>
    <row r="138" spans="1:18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1">
        <v>42960</v>
      </c>
      <c r="G138">
        <v>4</v>
      </c>
      <c r="H138" t="s">
        <v>179</v>
      </c>
      <c r="I138" t="s">
        <v>227</v>
      </c>
      <c r="J138" s="5" t="str">
        <f t="shared" si="20"/>
        <v>Jane Smith</v>
      </c>
      <c r="K138" s="4">
        <f t="shared" si="21"/>
        <v>74359.538461538468</v>
      </c>
      <c r="L138" s="3">
        <f t="shared" si="22"/>
        <v>3.1666666666666665</v>
      </c>
      <c r="M138" s="5">
        <f t="shared" si="23"/>
        <v>73348</v>
      </c>
      <c r="N138" s="5">
        <f t="shared" si="24"/>
        <v>3.5</v>
      </c>
      <c r="Q138" s="8" t="str">
        <f t="shared" si="25"/>
        <v>Jane</v>
      </c>
      <c r="R138" s="8" t="str">
        <f t="shared" si="26"/>
        <v>Smith</v>
      </c>
    </row>
    <row r="139" spans="1:18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1">
        <v>42967</v>
      </c>
      <c r="I139" t="s">
        <v>276</v>
      </c>
      <c r="J139" s="5" t="str">
        <f t="shared" si="20"/>
        <v>Chris Lee</v>
      </c>
      <c r="K139" s="4">
        <f t="shared" si="21"/>
        <v>75528.25</v>
      </c>
      <c r="L139" s="3">
        <f t="shared" si="22"/>
        <v>3.0909090909090908</v>
      </c>
      <c r="M139" s="5">
        <f t="shared" si="23"/>
        <v>79049</v>
      </c>
      <c r="N139" s="5">
        <f t="shared" si="24"/>
        <v>3</v>
      </c>
      <c r="Q139" s="8" t="str">
        <f t="shared" si="25"/>
        <v>Chris</v>
      </c>
      <c r="R139" s="8" t="str">
        <f t="shared" si="26"/>
        <v>Lee</v>
      </c>
    </row>
    <row r="140" spans="1:18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1">
        <v>42974</v>
      </c>
      <c r="G140">
        <v>4</v>
      </c>
      <c r="H140" t="s">
        <v>181</v>
      </c>
      <c r="I140" t="s">
        <v>195</v>
      </c>
      <c r="J140" s="5" t="str">
        <f t="shared" si="20"/>
        <v>Chris Lee</v>
      </c>
      <c r="K140" s="4">
        <f t="shared" si="21"/>
        <v>74670.090909090912</v>
      </c>
      <c r="L140" s="3">
        <f t="shared" si="22"/>
        <v>3.0909090909090908</v>
      </c>
      <c r="M140" s="5">
        <f t="shared" si="23"/>
        <v>73348</v>
      </c>
      <c r="N140" s="5">
        <f t="shared" si="24"/>
        <v>3</v>
      </c>
      <c r="Q140" s="8" t="str">
        <f t="shared" si="25"/>
        <v>Chris</v>
      </c>
      <c r="R140" s="8" t="str">
        <f t="shared" si="26"/>
        <v>Lee</v>
      </c>
    </row>
    <row r="141" spans="1:18" x14ac:dyDescent="0.3">
      <c r="A141" t="s">
        <v>148</v>
      </c>
      <c r="B141" t="s">
        <v>165</v>
      </c>
      <c r="C141" t="s">
        <v>169</v>
      </c>
      <c r="E141">
        <v>73348</v>
      </c>
      <c r="F141" s="1">
        <v>42981</v>
      </c>
      <c r="G141">
        <v>2</v>
      </c>
      <c r="I141" t="s">
        <v>243</v>
      </c>
      <c r="J141" s="5" t="str">
        <f t="shared" si="20"/>
        <v>Bob Johnson</v>
      </c>
      <c r="K141" s="4">
        <f t="shared" si="21"/>
        <v>73662.100000000006</v>
      </c>
      <c r="L141" s="3">
        <f t="shared" si="22"/>
        <v>3</v>
      </c>
      <c r="M141" s="5">
        <f t="shared" si="23"/>
        <v>70341.5</v>
      </c>
      <c r="N141" s="5">
        <f t="shared" si="24"/>
        <v>2.5</v>
      </c>
      <c r="Q141" s="8" t="str">
        <f t="shared" si="25"/>
        <v>Bob</v>
      </c>
      <c r="R141" s="8" t="str">
        <f t="shared" si="26"/>
        <v>Johnson</v>
      </c>
    </row>
    <row r="142" spans="1:18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1">
        <v>42988</v>
      </c>
      <c r="G142">
        <v>4</v>
      </c>
      <c r="H142" t="s">
        <v>179</v>
      </c>
      <c r="I142" t="s">
        <v>182</v>
      </c>
      <c r="J142" s="5" t="str">
        <f t="shared" si="20"/>
        <v>Chris Lee</v>
      </c>
      <c r="K142" s="4">
        <f t="shared" si="21"/>
        <v>73697</v>
      </c>
      <c r="L142" s="3">
        <f t="shared" si="22"/>
        <v>3.1111111111111112</v>
      </c>
      <c r="M142" s="5">
        <f t="shared" si="23"/>
        <v>67335</v>
      </c>
      <c r="N142" s="5">
        <f t="shared" si="24"/>
        <v>3</v>
      </c>
      <c r="Q142" s="8" t="str">
        <f t="shared" si="25"/>
        <v>Chris</v>
      </c>
      <c r="R142" s="8" t="str">
        <f t="shared" si="26"/>
        <v>Lee</v>
      </c>
    </row>
    <row r="143" spans="1:18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1">
        <v>42995</v>
      </c>
      <c r="G143">
        <v>5</v>
      </c>
      <c r="H143" t="s">
        <v>179</v>
      </c>
      <c r="I143" t="s">
        <v>207</v>
      </c>
      <c r="J143" s="5" t="str">
        <f t="shared" si="20"/>
        <v>Jane Smith</v>
      </c>
      <c r="K143" s="4">
        <f t="shared" si="21"/>
        <v>73697</v>
      </c>
      <c r="L143" s="3">
        <f t="shared" si="22"/>
        <v>3</v>
      </c>
      <c r="M143" s="5">
        <f t="shared" si="23"/>
        <v>67335</v>
      </c>
      <c r="N143" s="5">
        <f t="shared" si="24"/>
        <v>2.5</v>
      </c>
      <c r="Q143" s="8" t="str">
        <f t="shared" si="25"/>
        <v>Jane</v>
      </c>
      <c r="R143" s="8" t="str">
        <f t="shared" si="26"/>
        <v>Smith</v>
      </c>
    </row>
    <row r="144" spans="1:18" x14ac:dyDescent="0.3">
      <c r="A144" t="s">
        <v>151</v>
      </c>
      <c r="B144" t="s">
        <v>160</v>
      </c>
      <c r="C144" t="s">
        <v>170</v>
      </c>
      <c r="E144">
        <v>86775</v>
      </c>
      <c r="F144" s="1">
        <v>43002</v>
      </c>
      <c r="G144">
        <v>3</v>
      </c>
      <c r="H144" t="s">
        <v>179</v>
      </c>
      <c r="I144" t="s">
        <v>212</v>
      </c>
      <c r="J144" s="5" t="str">
        <f t="shared" si="20"/>
        <v>Alice Brown</v>
      </c>
      <c r="K144" s="4">
        <f t="shared" si="21"/>
        <v>74548.875</v>
      </c>
      <c r="L144" s="3">
        <f t="shared" si="22"/>
        <v>2.7142857142857144</v>
      </c>
      <c r="M144" s="5">
        <f t="shared" si="23"/>
        <v>77055</v>
      </c>
      <c r="N144" s="5">
        <f t="shared" si="24"/>
        <v>2</v>
      </c>
      <c r="Q144" s="8" t="str">
        <f t="shared" si="25"/>
        <v>Alice</v>
      </c>
      <c r="R144" s="8" t="str">
        <f t="shared" si="26"/>
        <v>Brown</v>
      </c>
    </row>
    <row r="145" spans="1:18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1">
        <v>43009</v>
      </c>
      <c r="I145" t="s">
        <v>277</v>
      </c>
      <c r="J145" s="5" t="str">
        <f t="shared" si="20"/>
        <v>Chris Lee</v>
      </c>
      <c r="K145" s="4">
        <f t="shared" si="21"/>
        <v>72802.28571428571</v>
      </c>
      <c r="L145" s="3">
        <f t="shared" si="22"/>
        <v>2.6666666666666665</v>
      </c>
      <c r="M145" s="5">
        <f t="shared" si="23"/>
        <v>67335</v>
      </c>
      <c r="N145" s="5">
        <f t="shared" si="24"/>
        <v>2</v>
      </c>
      <c r="Q145" s="8" t="str">
        <f t="shared" si="25"/>
        <v>Chris</v>
      </c>
      <c r="R145" s="8" t="str">
        <f t="shared" si="26"/>
        <v>Lee</v>
      </c>
    </row>
    <row r="146" spans="1:18" x14ac:dyDescent="0.3">
      <c r="A146" t="s">
        <v>153</v>
      </c>
      <c r="B146" t="s">
        <v>159</v>
      </c>
      <c r="E146">
        <v>94148</v>
      </c>
      <c r="F146" s="1">
        <v>43016</v>
      </c>
      <c r="G146">
        <v>2</v>
      </c>
      <c r="I146" t="s">
        <v>278</v>
      </c>
      <c r="J146" s="5" t="str">
        <f t="shared" si="20"/>
        <v>Eve Adams</v>
      </c>
      <c r="K146" s="4">
        <f t="shared" si="21"/>
        <v>69666</v>
      </c>
      <c r="L146" s="3">
        <f t="shared" si="22"/>
        <v>2.6666666666666665</v>
      </c>
      <c r="M146" s="5">
        <f t="shared" si="23"/>
        <v>66302.5</v>
      </c>
      <c r="N146" s="5">
        <f t="shared" si="24"/>
        <v>2</v>
      </c>
      <c r="Q146" s="8" t="str">
        <f t="shared" si="25"/>
        <v>Eve</v>
      </c>
      <c r="R146" s="8" t="str">
        <f t="shared" si="26"/>
        <v>Adams</v>
      </c>
    </row>
    <row r="147" spans="1:18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1">
        <v>43023</v>
      </c>
      <c r="G147">
        <v>5</v>
      </c>
      <c r="H147" t="s">
        <v>181</v>
      </c>
      <c r="I147" t="s">
        <v>275</v>
      </c>
      <c r="J147" s="5" t="str">
        <f t="shared" si="20"/>
        <v>Sam Wilson</v>
      </c>
      <c r="K147" s="4">
        <f t="shared" si="21"/>
        <v>64769.599999999999</v>
      </c>
      <c r="L147" s="3">
        <f t="shared" si="22"/>
        <v>2.8</v>
      </c>
      <c r="M147" s="5">
        <f t="shared" si="23"/>
        <v>65270</v>
      </c>
      <c r="N147" s="5">
        <f t="shared" si="24"/>
        <v>2</v>
      </c>
      <c r="Q147" s="8" t="str">
        <f t="shared" si="25"/>
        <v>Sam</v>
      </c>
      <c r="R147" s="8" t="str">
        <f t="shared" si="26"/>
        <v>Wilson</v>
      </c>
    </row>
    <row r="148" spans="1:18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1">
        <v>43030</v>
      </c>
      <c r="G148">
        <v>2</v>
      </c>
      <c r="I148" t="s">
        <v>276</v>
      </c>
      <c r="J148" s="5" t="str">
        <f t="shared" si="20"/>
        <v>John Doe</v>
      </c>
      <c r="K148" s="4">
        <f t="shared" si="21"/>
        <v>72055.25</v>
      </c>
      <c r="L148" s="3">
        <f t="shared" si="22"/>
        <v>2.25</v>
      </c>
      <c r="M148" s="5">
        <f t="shared" si="23"/>
        <v>66302.5</v>
      </c>
      <c r="N148" s="5">
        <f t="shared" si="24"/>
        <v>1.5</v>
      </c>
      <c r="Q148" s="8" t="str">
        <f t="shared" si="25"/>
        <v>John</v>
      </c>
      <c r="R148" s="8" t="str">
        <f t="shared" si="26"/>
        <v>Doe</v>
      </c>
    </row>
    <row r="149" spans="1:18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1">
        <v>43037</v>
      </c>
      <c r="G149">
        <v>1</v>
      </c>
      <c r="I149" t="s">
        <v>279</v>
      </c>
      <c r="J149" s="5" t="str">
        <f t="shared" si="20"/>
        <v>Bob Johnson</v>
      </c>
      <c r="K149" s="4">
        <f t="shared" si="21"/>
        <v>77026.666666666672</v>
      </c>
      <c r="L149" s="3">
        <f t="shared" si="22"/>
        <v>2.3333333333333335</v>
      </c>
      <c r="M149" s="5">
        <f t="shared" si="23"/>
        <v>67335</v>
      </c>
      <c r="N149" s="5">
        <f t="shared" si="24"/>
        <v>1</v>
      </c>
      <c r="Q149" s="8" t="str">
        <f t="shared" si="25"/>
        <v>Bob</v>
      </c>
      <c r="R149" s="8" t="str">
        <f t="shared" si="26"/>
        <v>Johnson</v>
      </c>
    </row>
    <row r="150" spans="1:18" x14ac:dyDescent="0.3">
      <c r="A150" t="s">
        <v>157</v>
      </c>
      <c r="B150" t="s">
        <v>165</v>
      </c>
      <c r="D150" t="s">
        <v>175</v>
      </c>
      <c r="E150">
        <v>67335</v>
      </c>
      <c r="F150" s="1">
        <v>43044</v>
      </c>
      <c r="G150">
        <v>1</v>
      </c>
      <c r="H150" t="s">
        <v>179</v>
      </c>
      <c r="I150" t="s">
        <v>233</v>
      </c>
      <c r="J150" s="5" t="str">
        <f t="shared" si="20"/>
        <v>Bob Johnson</v>
      </c>
      <c r="K150" s="4">
        <f t="shared" si="21"/>
        <v>82905</v>
      </c>
      <c r="L150" s="3">
        <f t="shared" si="22"/>
        <v>3</v>
      </c>
      <c r="M150" s="5">
        <f t="shared" si="23"/>
        <v>82905</v>
      </c>
      <c r="N150" s="5">
        <f t="shared" si="24"/>
        <v>3</v>
      </c>
      <c r="Q150" s="8" t="str">
        <f t="shared" si="25"/>
        <v>Bob</v>
      </c>
      <c r="R150" s="8" t="str">
        <f t="shared" si="26"/>
        <v>Johnson</v>
      </c>
    </row>
    <row r="151" spans="1:18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1">
        <v>43051</v>
      </c>
      <c r="G151">
        <v>5</v>
      </c>
      <c r="H151" t="s">
        <v>179</v>
      </c>
      <c r="I151" t="s">
        <v>280</v>
      </c>
      <c r="J151" s="5" t="str">
        <f t="shared" si="20"/>
        <v>Sam Wilson</v>
      </c>
      <c r="K151" s="4">
        <f t="shared" si="21"/>
        <v>98475</v>
      </c>
      <c r="L151" s="3">
        <f t="shared" si="22"/>
        <v>5</v>
      </c>
      <c r="M151" s="5">
        <f t="shared" si="23"/>
        <v>98475</v>
      </c>
      <c r="N151" s="5">
        <f t="shared" si="24"/>
        <v>5</v>
      </c>
      <c r="Q151" s="8" t="str">
        <f t="shared" si="25"/>
        <v>Sam</v>
      </c>
      <c r="R151" s="8" t="str">
        <f t="shared" si="26"/>
        <v>Wilson</v>
      </c>
    </row>
  </sheetData>
  <phoneticPr fontId="2" type="noConversion"/>
  <conditionalFormatting sqref="K1:N15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{FEE116E3-C67A-4440-B72C-00C9F2525478}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E116E3-C67A-4440-B72C-00C9F25254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K1:N151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praveen riyash</cp:lastModifiedBy>
  <dcterms:created xsi:type="dcterms:W3CDTF">2025-05-31T18:11:07Z</dcterms:created>
  <dcterms:modified xsi:type="dcterms:W3CDTF">2026-01-25T08:11:01Z</dcterms:modified>
</cp:coreProperties>
</file>